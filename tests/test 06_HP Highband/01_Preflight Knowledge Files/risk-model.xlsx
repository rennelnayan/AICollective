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ramework map" sheetId="2" state="visible" r:id="rId4"/>
    <sheet name="Factors and weights" sheetId="3" state="visible" r:id="rId5"/>
    <sheet name="Scoring criteria" sheetId="4" state="visible" r:id="rId6"/>
    <sheet name="Control multipliers" sheetId="5" state="visible" r:id="rId7"/>
    <sheet name="Hard exclusions" sheetId="6" state="visible" r:id="rId8"/>
    <sheet name="Worked cases" sheetId="7" state="visible" r:id="rId9"/>
    <sheet name="Calculator" sheetId="8" state="visible" r:id="rId10"/>
    <sheet name="Change log"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<sst xmlns="http://schemas.openxmlformats.org/spreadsheetml/2006/main" count="355" uniqueCount="259">
  <si>
    <t xml:space="preserve">Correspondent banking respondent risk model</t>
  </si>
  <si>
    <t xml:space="preserve">Version 0.1 — draft for team review</t>
  </si>
  <si>
    <t xml:space="preserve">Purpose</t>
  </si>
  <si>
    <t xml:space="preserve">Scores the inherent and residual financial crime risk of a prospective correspondent banking respondent institution, from the information supplied in a completed Wolfsberg CBDDQ and supporting evidence.</t>
  </si>
  <si>
    <t xml:space="preserve">Scope</t>
  </si>
  <si>
    <t xml:space="preserve">One change type only: onboarding a new cross-border correspondent banking respondent. Not customer onboarding, not new product launch, not geographic expansion.</t>
  </si>
  <si>
    <t xml:space="preserve">Design rule 1</t>
  </si>
  <si>
    <t xml:space="preserve">The AI reads and writes. This model decides. Extraction produces facts; this workbook produces the number. No model output is ever a score.</t>
  </si>
  <si>
    <t xml:space="preserve">Design rule 2</t>
  </si>
  <si>
    <t xml:space="preserve">Weights are configuration, not code. Every weight on the Factors and weights sheet is an input cell. Changes are recorded on the Change log sheet with a justification, and each assessment records which version scored it.</t>
  </si>
  <si>
    <t xml:space="preserve">Design rule 3</t>
  </si>
  <si>
    <t xml:space="preserve">Controls reduce risk; they never eliminate it. Residual risk is floored at 20 per cent of inherent risk. A respondent with every control independently evidenced still carries a fifth of its inherent risk.</t>
  </si>
  <si>
    <t xml:space="preserve">Grounding</t>
  </si>
  <si>
    <t xml:space="preserve">Risk categories follow the FFIEC BSA/AML Examination Manual (March 2020), BSA/AML Risk Assessment section. Individual factors and the control set map to named FATF 40 Recommendations (2003, as amended to 2004). Source questions map to the Wolfsberg Group CBDDQ V1.4.</t>
  </si>
  <si>
    <t xml:space="preserve">FFIEC support</t>
  </si>
  <si>
    <t xml:space="preserve">The manual states that there are no required risk categories and that a bank may determine that some factors should be weighted more heavily than others, adding that sound practice is to document the factors considered including any weighting. That is what this workbook is. It also warns that no single indicator determines a higher or lower risk profile, which is why no single factor can move a case to prohibited on its own.</t>
  </si>
  <si>
    <t xml:space="preserve">Hard exclusions</t>
  </si>
  <si>
    <t xml:space="preserve">Separate from the weighted model. FATF Recommendation 18 is a prohibition rather than a risk weight, so shell bank determinations are a binary stop applied before scoring. See the Hard exclusions sheet.</t>
  </si>
  <si>
    <t xml:space="preserve">How to use</t>
  </si>
  <si>
    <t xml:space="preserve">Read Framework map first. Set weights on Factors and weights. Score a case on Calculator by entering the six factor scores and the four control evidence tiers. Compare against the three worked examples on Worked cases.</t>
  </si>
  <si>
    <t xml:space="preserve">Cell colours</t>
  </si>
  <si>
    <t xml:space="preserve">Blue text = an input you set. Black text = a formula, do not overtype. Yellow fill = a key assumption the team should argue about before it is frozen.</t>
  </si>
  <si>
    <t xml:space="preserve">Open question</t>
  </si>
  <si>
    <t xml:space="preserve">The 0 / 3 / 6 / 10 anchors are deliberately coarse. Finer granularity would imply a precision the source documents do not support. Revisit if eval shows analysts overriding a band repeatedly at one boundary.</t>
  </si>
  <si>
    <t xml:space="preserve">Every factor and control traces to a published source</t>
  </si>
  <si>
    <t xml:space="preserve">ID</t>
  </si>
  <si>
    <t xml:space="preserve">Factor or control</t>
  </si>
  <si>
    <t xml:space="preserve">FFIEC risk category</t>
  </si>
  <si>
    <t xml:space="preserve">FATF Recommendation</t>
  </si>
  <si>
    <t xml:space="preserve">Wolfsberg CBDDQ V1.4 source questions</t>
  </si>
  <si>
    <t xml:space="preserve">F1</t>
  </si>
  <si>
    <t xml:space="preserve">Jurisdiction and geographic footprint</t>
  </si>
  <si>
    <t xml:space="preserve">Geographic locations</t>
  </si>
  <si>
    <t xml:space="preserve">Rec 21 (countries that insufficiently apply the Recommendations); Rec 22 (branches and subsidiaries abroad)</t>
  </si>
  <si>
    <t xml:space="preserve">Q2 foreign branches; Q3 registered address; Q13 jurisdiction of ultimate parent; Q15a non-resident customer countries; Q108 presence in comprehensively sanctioned jurisdictions</t>
  </si>
  <si>
    <t xml:space="preserve">F2</t>
  </si>
  <si>
    <t xml:space="preserve">Quality of supervision and regulatory standing</t>
  </si>
  <si>
    <t xml:space="preserve">Customers and entities</t>
  </si>
  <si>
    <t xml:space="preserve">Rec 7(a) (understand the respondent, determine reputation and quality of supervision, and whether subject to investigation or regulatory action); Rec 23</t>
  </si>
  <si>
    <t xml:space="preserve">Q10 primary regulator; Q11 LEI; Q13 licensing authority of ultimate parent</t>
  </si>
  <si>
    <t xml:space="preserve">F3</t>
  </si>
  <si>
    <t xml:space="preserve">Ownership and control transparency</t>
  </si>
  <si>
    <t xml:space="preserve">Rec 5(b) (identify beneficial owner, understand ownership and control structure); Rec 33 (bearer shares)</t>
  </si>
  <si>
    <t xml:space="preserve">Q6 ownership type; Q6d1 shareholders or UBOs at 10 per cent or more; Q7 bearer shares; Q12 ultimate parent</t>
  </si>
  <si>
    <t xml:space="preserve">F4</t>
  </si>
  <si>
    <t xml:space="preserve">Physical presence and shell bank proximity</t>
  </si>
  <si>
    <t xml:space="preserve">Rec 18 (shell banks); Glossary definition of shell bank</t>
  </si>
  <si>
    <t xml:space="preserve">Q3 and Q4 addresses; Q8 offshore banking licence; Q9 virtual bank licence or online-only channels</t>
  </si>
  <si>
    <t xml:space="preserve">F5</t>
  </si>
  <si>
    <t xml:space="preserve">Products, services and delivery channels</t>
  </si>
  <si>
    <t xml:space="preserve">Products and services</t>
  </si>
  <si>
    <t xml:space="preserve">Rec 7(e) (payable-through accounts); Rec 8 (non-face-to-face and new technologies); Rec 11 (complex or unusual transactions)</t>
  </si>
  <si>
    <t xml:space="preserve">Q14 business areas; Q19a to Q19q products offered including correspondent banking, payable-through accounts, hold mail, virtual assets, remittances</t>
  </si>
  <si>
    <t xml:space="preserve">F6</t>
  </si>
  <si>
    <t xml:space="preserve">Customer base and PEP exposure</t>
  </si>
  <si>
    <t xml:space="preserve">Rec 6 (politically exposed persons)</t>
  </si>
  <si>
    <t xml:space="preserve">Q15 non-resident customer concentration; Q71 to Q73 PEP screening; Q76 restricted and prohibited customer categories</t>
  </si>
  <si>
    <t xml:space="preserve">C1</t>
  </si>
  <si>
    <t xml:space="preserve">AML, CTF and sanctions programme with independent testing</t>
  </si>
  <si>
    <t xml:space="preserve">n/a — control</t>
  </si>
  <si>
    <t xml:space="preserve">Rec 15 (internal policies, training, audit function to test the system)</t>
  </si>
  <si>
    <t xml:space="preserve">Q22a to Q22l programme components, in particular Q22g independent testing</t>
  </si>
  <si>
    <t xml:space="preserve">C2</t>
  </si>
  <si>
    <t xml:space="preserve">Customer due diligence and beneficial ownership</t>
  </si>
  <si>
    <t xml:space="preserve">Rec 5 (CDD); Rec 10 (record keeping)</t>
  </si>
  <si>
    <t xml:space="preserve">Q22c beneficial ownership; Q22e CDD; Q22f EDD; Q74 periodic review frequency</t>
  </si>
  <si>
    <t xml:space="preserve">C3</t>
  </si>
  <si>
    <t xml:space="preserve">Sanctions and PEP screening</t>
  </si>
  <si>
    <t xml:space="preserve">Rec 6 (PEPs); Rec 13 (suspicious transaction reporting)</t>
  </si>
  <si>
    <t xml:space="preserve">Q70 adverse media method; Q72 PEP screening method; Q106 sanctions lists used; Q107 list update timeliness</t>
  </si>
  <si>
    <t xml:space="preserve">C4</t>
  </si>
  <si>
    <t xml:space="preserve">Correspondent and downstream relationship controls</t>
  </si>
  <si>
    <t xml:space="preserve">Rec 7(a) to 7(e); Rec 18 (guard against accounts used by shell banks)</t>
  </si>
  <si>
    <t xml:space="preserve">Q19a1c and Q19a1f downstream identification procedures; Q19h payable-through accounts; Q76t shell banks prohibited; Q78 senior management approval for EDD</t>
  </si>
  <si>
    <t xml:space="preserve">Note: FATF revised the 40 Recommendations in February 2012. The uploaded edition is the 2003 text incorporating amendments to October 2004. Recommendation numbering differs in the 2012 text. Record which edition you cited.</t>
  </si>
  <si>
    <t xml:space="preserve">Inherent risk factors and weights</t>
  </si>
  <si>
    <t xml:space="preserve">Blue cells are inputs. Weights must total 100.</t>
  </si>
  <si>
    <t xml:space="preserve">Factor</t>
  </si>
  <si>
    <t xml:space="preserve">Weight</t>
  </si>
  <si>
    <t xml:space="preserve">FFIEC category</t>
  </si>
  <si>
    <t xml:space="preserve">Why this weight</t>
  </si>
  <si>
    <t xml:space="preserve">One of the four FFIEC categories. Weighted high because jurisdiction drives both sanctions exposure and the reliability of every other answer on the questionnaire.</t>
  </si>
  <si>
    <t xml:space="preserve">FATF Rec 7(a) makes this an explicit requirement for correspondent relationships. Weighted below jurisdiction because a well-supervised bank in a weak jurisdiction is still exposed to that jurisdiction.</t>
  </si>
  <si>
    <t xml:space="preserve">FATF Rec 5(b) and Rec 33. Weighted equal to jurisdiction because an unresolvable ownership chain defeats every downstream control.</t>
  </si>
  <si>
    <t xml:space="preserve">Weighted low because the extreme case is handled as a hard exclusion under Rec 18, not by the weighted model. This factor captures proximity, not the prohibition itself.</t>
  </si>
  <si>
    <t xml:space="preserve">Highest weight. FFIEC lists products and services first among the risk categories, and the CBDDQ devotes an entire section to it. Payable-through accounts and downstream correspondent relationships are the two specific exposures FATF Rec 7(e) singles out.</t>
  </si>
  <si>
    <t xml:space="preserve">FATF Rec 6. Weighted low because PEP exposure is largely addressed by control C3 rather than by avoiding the relationship.</t>
  </si>
  <si>
    <t xml:space="preserve">Total</t>
  </si>
  <si>
    <t xml:space="preserve">Inherent score anchors</t>
  </si>
  <si>
    <t xml:space="preserve">0</t>
  </si>
  <si>
    <t xml:space="preserve">Absent. The questionnaire states the condition does not apply, and the answer is internally consistent with the rest of the submission.</t>
  </si>
  <si>
    <t xml:space="preserve">3</t>
  </si>
  <si>
    <t xml:space="preserve">Present but contained. Low materiality, or fully offset by a structural feature such as an ultimate parent listed on a regulated exchange.</t>
  </si>
  <si>
    <t xml:space="preserve">6</t>
  </si>
  <si>
    <t xml:space="preserve">Present and material. The condition applies at a level that would draw an examiner question.</t>
  </si>
  <si>
    <t xml:space="preserve">10</t>
  </si>
  <si>
    <t xml:space="preserve">Present and severe, or undeterminable because the respondent did not answer.</t>
  </si>
  <si>
    <t xml:space="preserve">An unanswered question scores 10, not 0. Silence is not evidence of absence, and scoring it as low would reward non-disclosure.</t>
  </si>
  <si>
    <t xml:space="preserve">Inherent risk = sum over factors of (score / 10) x weight. Range 0 to 100.</t>
  </si>
  <si>
    <t xml:space="preserve">Written criteria for each anchor — the criteria decide, not the analyst</t>
  </si>
  <si>
    <t xml:space="preserve">Score 0</t>
  </si>
  <si>
    <t xml:space="preserve">Score 3</t>
  </si>
  <si>
    <t xml:space="preserve">Score 6</t>
  </si>
  <si>
    <t xml:space="preserve">Score 10</t>
  </si>
  <si>
    <t xml:space="preserve">HQ and all branches in FATF member jurisdictions. No presence in any comprehensively sanctioned jurisdiction (Q108 No).</t>
  </si>
  <si>
    <t xml:space="preserve">HQ in a FATF member jurisdiction; one or more branches in an offshore financial centre that is itself supervised.</t>
  </si>
  <si>
    <t xml:space="preserve">HQ or a material branch in a jurisdiction outside the FATF membership with no equivalent regional assessment, or non-resident customers concentrated in such jurisdictions.</t>
  </si>
  <si>
    <t xml:space="preserve">Any presence in a jurisdiction subject to comprehensive sanctions, or in a jurisdiction FATF has identified as having strategic deficiencies, or Q2 and Q108 unanswered.</t>
  </si>
  <si>
    <t xml:space="preserve">Named prudential regulator in a FATF member jurisdiction, LEI supplied, ultimate parent licensed or a listed holding company.</t>
  </si>
  <si>
    <t xml:space="preserve">Named regulator in a FATF member jurisdiction but LEI absent, or the ultimate parent is an unlicensed holding company with no separate disclosure.</t>
  </si>
  <si>
    <t xml:space="preserve">Regulator named but jurisdiction outside FATF membership, or the respondent discloses a past regulatory action without resolution detail.</t>
  </si>
  <si>
    <t xml:space="preserve">No regulator identified, or an unresolved money laundering or terrorist financing investigation or regulatory action as contemplated by FATF Rec 7(a), or Q10 unanswered.</t>
  </si>
  <si>
    <t xml:space="preserve">Ownership resolves to a company listed on a regulated exchange and subject to disclosure requirements. No bearer shares. FATF Interpretative Note to Rec 5 paragraph 10 supports reduced measures here.</t>
  </si>
  <si>
    <t xml:space="preserve">Privately held but every beneficial owner at 10 per cent or more is named, with no more than two intermediate layers, all in jurisdictions that maintain a beneficial ownership register. No bearer shares.</t>
  </si>
  <si>
    <t xml:space="preserve">Three or more intermediate layers, or one or more layers in a jurisdiction that does not publish beneficial ownership, or a beneficial owner named without a verifiable identifier.</t>
  </si>
  <si>
    <t xml:space="preserve">Any bearer shares in issue (FATF Rec 33), or no beneficial owner identifiable at the 10 per cent threshold, or Q6d1 unanswered.</t>
  </si>
  <si>
    <t xml:space="preserve">Registered and primary business addresses both stated and consistent. No offshore banking licence. No virtual bank licence.</t>
  </si>
  <si>
    <t xml:space="preserve">Single stated address, operations confirmed at that address, part of a regulated financial group.</t>
  </si>
  <si>
    <t xml:space="preserve">Operates under an offshore banking licence for one or more branches (Q8), or holds a virtual bank licence or serves solely through online channels (Q9).</t>
  </si>
  <si>
    <t xml:space="preserve">No verifiable physical presence in the licensing jurisdiction and not affiliated with a regulated financial group. Note: this meets the FATF Glossary definition of a shell bank and triggers the hard exclusion — see Hard exclusions sheet.</t>
  </si>
  <si>
    <t xml:space="preserve">Retail or commercial banking only. No correspondent banking offered, no payable-through accounts, no cash-intensive or anonymity-favouring products.</t>
  </si>
  <si>
    <t xml:space="preserve">Private banking or wealth management offered, but no correspondent banking to third-party institutions and no payable-through accounts.</t>
  </si>
  <si>
    <t xml:space="preserve">Correspondent banking offered to foreign banks but downstream relationships not permitted, or two or more of: hold mail, virtual assets, cross-border bulk cash, low price securities, remote deposit capture.</t>
  </si>
  <si>
    <t xml:space="preserve">Payable-through accounts offered (FATF Rec 7(e)), or downstream correspondent relationships permitted without stated identification procedures, or correspondent services to MSBs or MVTS without downstream controls.</t>
  </si>
  <si>
    <t xml:space="preserve">No material non-resident customer base (Q15 No). PEPs screened at onboarding, renewal and on trigger events, with EDD applied.</t>
  </si>
  <si>
    <t xml:space="preserve">Non-resident customers above 10 per cent but concentrated in FATF member jurisdictions, with full PEP screening.</t>
  </si>
  <si>
    <t xml:space="preserve">Non-resident customers above 10 per cent with concentration outside FATF membership, or PEP screening at onboarding only with no trigger-event screening.</t>
  </si>
  <si>
    <t xml:space="preserve">No PEP screening programme, or restricted and prohibited customer categories not defined, or Q15 and Q71 unanswered.</t>
  </si>
  <si>
    <t xml:space="preserve">Control effectiveness — four domains, multiplied together</t>
  </si>
  <si>
    <t xml:space="preserve">Blue cells are inputs. Multipliers are applied as a product, then floored.</t>
  </si>
  <si>
    <t xml:space="preserve">Evidence tier</t>
  </si>
  <si>
    <t xml:space="preserve">Multiplier</t>
  </si>
  <si>
    <t xml:space="preserve">What qualifies</t>
  </si>
  <si>
    <t xml:space="preserve">Independently evidenced</t>
  </si>
  <si>
    <t xml:space="preserve">An external audit report, regulatory examination summary, or independent assurance opinion covering this domain has been supplied and is current. FATF Rec 15(c) contemplates an audit function to test the system; this tier requires the output of that function, not the assertion that it exists.</t>
  </si>
  <si>
    <t xml:space="preserve">Partially evidenced</t>
  </si>
  <si>
    <t xml:space="preserve">The CBDDQ answer is supported by at least one document supplied by the respondent — a policy extract, a screening list inventory, a testing summary — but not by independent assurance.</t>
  </si>
  <si>
    <t xml:space="preserve">Self-asserted only</t>
  </si>
  <si>
    <t xml:space="preserve">The respondent answered Yes on the CBDDQ and supplied nothing further. The questionnaire is a senior-level attestation and carries some weight, but it is the respondent describing itself.</t>
  </si>
  <si>
    <t xml:space="preserve">Absent or unanswered</t>
  </si>
  <si>
    <t xml:space="preserve">The respondent answered No, answered Not Applicable where the domain plainly applies, or left the question blank. No reduction.</t>
  </si>
  <si>
    <t xml:space="preserve">Control domains</t>
  </si>
  <si>
    <t xml:space="preserve">Control domain</t>
  </si>
  <si>
    <t xml:space="preserve">FATF basis</t>
  </si>
  <si>
    <t xml:space="preserve">CBDDQ source</t>
  </si>
  <si>
    <t xml:space="preserve">Rec 15</t>
  </si>
  <si>
    <t xml:space="preserve">Q22a to Q22l, in particular Q22g independent testing</t>
  </si>
  <si>
    <t xml:space="preserve">Rec 5, Rec 10</t>
  </si>
  <si>
    <t xml:space="preserve">Q22c, Q22e, Q22f, Q74 periodic review frequency</t>
  </si>
  <si>
    <t xml:space="preserve">Rec 6, Rec 13</t>
  </si>
  <si>
    <t xml:space="preserve">Q70, Q72, Q106 sanctions lists, Q107 update timeliness</t>
  </si>
  <si>
    <t xml:space="preserve">Rec 7, Rec 18</t>
  </si>
  <si>
    <t xml:space="preserve">Q19a1c, Q19a1f, Q19h, Q76t, Q78</t>
  </si>
  <si>
    <t xml:space="preserve">Floor</t>
  </si>
  <si>
    <t xml:space="preserve">Residual risk can never fall below this fraction of inherent risk, whatever the controls.</t>
  </si>
  <si>
    <t xml:space="preserve">Why the floor binds</t>
  </si>
  <si>
    <t xml:space="preserve">All four domains independently evidenced gives 0.65 to the fourth power = 0.1785, which is below the floor. So a respondent with a perfect control submission is still assessed at 20 per cent of its inherent risk. This is the arithmetic that implements the principle that controls never eliminate risk — it is not decorative.</t>
  </si>
  <si>
    <t xml:space="preserve">Residual bands</t>
  </si>
  <si>
    <t xml:space="preserve">Lower bound</t>
  </si>
  <si>
    <t xml:space="preserve">Band</t>
  </si>
  <si>
    <t xml:space="preserve">Consequence</t>
  </si>
  <si>
    <t xml:space="preserve">Low</t>
  </si>
  <si>
    <t xml:space="preserve">Approved at Gate 2 by the analyst. No committee.</t>
  </si>
  <si>
    <t xml:space="preserve">Moderate</t>
  </si>
  <si>
    <t xml:space="preserve">Approved at Gate 2 with conditions recorded. No committee.</t>
  </si>
  <si>
    <t xml:space="preserve">High</t>
  </si>
  <si>
    <t xml:space="preserve">Escalates to Gate 3 committee. Senior management approval required, consistent with FATF Rec 7(c).</t>
  </si>
  <si>
    <t xml:space="preserve">Prohibited pending exception</t>
  </si>
  <si>
    <t xml:space="preserve">Refused unless an executive exception is recorded with a written rationale and a review date.</t>
  </si>
  <si>
    <t xml:space="preserve">Binary stops applied before scoring</t>
  </si>
  <si>
    <t xml:space="preserve">These are prohibitions, not risk weights. They sit outside the model deliberately.</t>
  </si>
  <si>
    <t xml:space="preserve">Test</t>
  </si>
  <si>
    <t xml:space="preserve">Basis</t>
  </si>
  <si>
    <t xml:space="preserve">Determination logic</t>
  </si>
  <si>
    <t xml:space="preserve">Outcome</t>
  </si>
  <si>
    <t xml:space="preserve">Shell bank</t>
  </si>
  <si>
    <t xml:space="preserve">FATF Rec 18 and Glossary definition</t>
  </si>
  <si>
    <t xml:space="preserve">Respondent has no physical presence in the jurisdiction of incorporation AND is not affiliated with a regulated financial group. Derived from Q3, Q4, Q8, Q10 and Q12.</t>
  </si>
  <si>
    <t xml:space="preserve">Refuse. Not scored.</t>
  </si>
  <si>
    <t xml:space="preserve">Downstream shell bank exposure</t>
  </si>
  <si>
    <t xml:space="preserve">FATF Rec 18</t>
  </si>
  <si>
    <t xml:space="preserve">Respondent permits downstream correspondent relationships AND has no stated procedure to identify them (Q19a1c or Q19a1f not Yes).</t>
  </si>
  <si>
    <t xml:space="preserve">Refuse pending remediation.</t>
  </si>
  <si>
    <t xml:space="preserve">Comprehensively sanctioned presence</t>
  </si>
  <si>
    <t xml:space="preserve">FATF Rec 21; sanctions regimes</t>
  </si>
  <si>
    <t xml:space="preserve">Q108 answered Yes — physical presence in a jurisdiction subject to comprehensive UN, OFAC, OFSI, EU or G7 sanctions.</t>
  </si>
  <si>
    <t xml:space="preserve">Respondent bank category prohibited</t>
  </si>
  <si>
    <t xml:space="preserve">Respondent own FCC programme, CBDDQ Q76</t>
  </si>
  <si>
    <t xml:space="preserve">Respondent itself lists Respondent Banks or Shell banks as Prohibited under its own programme while seeking a correspondent relationship — an internal inconsistency requiring resolution before assessment.</t>
  </si>
  <si>
    <t xml:space="preserve">Return to Gate 1.</t>
  </si>
  <si>
    <t xml:space="preserve">Why these are outside the weighted model</t>
  </si>
  <si>
    <t xml:space="preserve">The FFIEC manual warns that no single indicator should be taken as determinative of a higher or lower risk profile, which is why nothing in the weighted model can push a case to prohibited on its own. But FATF Rec 18 is not phrased as a risk factor — it directs that financial institutions should refuse to enter into or continue a correspondent relationship with a shell bank. A prohibition cannot be expressed as a weight, because any weight implies it could be outscored by good answers elsewhere. Separating the two is the cleanest way to honour both documents, and it is the design decision most worth being able to explain.</t>
  </si>
  <si>
    <t xml:space="preserve">Three hand-calculated cases</t>
  </si>
  <si>
    <t xml:space="preserve">Case A is modelled on the profile in the uploaded CBDDQ V1.4 so extraction can be validated against a real document. Cases B and C are synthetic.</t>
  </si>
  <si>
    <t xml:space="preserve">A score</t>
  </si>
  <si>
    <t xml:space="preserve">A weighted</t>
  </si>
  <si>
    <t xml:space="preserve">B score</t>
  </si>
  <si>
    <t xml:space="preserve">B weighted</t>
  </si>
  <si>
    <t xml:space="preserve">C score</t>
  </si>
  <si>
    <t xml:space="preserve">C weighted</t>
  </si>
  <si>
    <t xml:space="preserve">Note on case A</t>
  </si>
  <si>
    <t xml:space="preserve">Swiss HQ, branches in Guernsey, Hong Kong SAR and Singapore. Guernsey is an offshore centre but supervised; Q108 answered No.</t>
  </si>
  <si>
    <t xml:space="preserve">FINMA named at Q10, LEI supplied at Q11. Ultimate parent is a holding company without its own licence (Q13), which is disclosed rather than concealed.</t>
  </si>
  <si>
    <t xml:space="preserve">Q6d1: wholly owned by a group holding company listed on SIX with 100 per cent free float. Q7: no bearer shares. Interpretative Note to FATF Rec 5 paragraph 10 supports reduced measures for public companies subject to disclosure requirements.</t>
  </si>
  <si>
    <t xml:space="preserve">Registered address stated at Q3. Q8 offshore banking licence No. Q9 virtual bank licence No.</t>
  </si>
  <si>
    <t xml:space="preserve">Q19a correspondent banking No and Q19h payable-through accounts No, which keeps this off 10. But hold mail, virtual assets, cross-border remittances, remote deposit capture and low price securities are all Yes.</t>
  </si>
  <si>
    <t xml:space="preserve">Q15 Yes — material non-resident base. Q15a lists Hong Kong, Singapore, United Kingdom, Germany, Italy. Q71 to Q73 show PEP screening at onboarding, renewal and trigger event.</t>
  </si>
  <si>
    <t xml:space="preserve">Inherent risk</t>
  </si>
  <si>
    <t xml:space="preserve">Control evidence tier</t>
  </si>
  <si>
    <t xml:space="preserve">Q22g independent testing Yes, plus a testing summary supplied. No external audit report, so not the top tier.</t>
  </si>
  <si>
    <t xml:space="preserve">Q22c and Q22e Yes, nothing supplied beyond the questionnaire.</t>
  </si>
  <si>
    <t xml:space="preserve">Q106 lists UN, OFAC, OFSI, EU, G7 plus SECO and OSFI; Q107 states same day to two business days. The list inventory is a supplied document.</t>
  </si>
  <si>
    <t xml:space="preserve">Q19a correspondent banking is No, so the downstream questions are Please select throughout. Treated as self-asserted, not absent, because the service is not offered.</t>
  </si>
  <si>
    <t xml:space="preserve">Combined multiplier</t>
  </si>
  <si>
    <t xml:space="preserve">Product of the four domain multipliers.</t>
  </si>
  <si>
    <t xml:space="preserve">Unfloored residual</t>
  </si>
  <si>
    <t xml:space="preserve">Floor value</t>
  </si>
  <si>
    <t xml:space="preserve">Residual risk</t>
  </si>
  <si>
    <t xml:space="preserve">Case identities</t>
  </si>
  <si>
    <t xml:space="preserve">A</t>
  </si>
  <si>
    <t xml:space="preserve">Alpine Trust Bank AG — Switzerland. Profile taken from the uploaded Wolfsberg CBDDQ V1.4. Expected outcome: Low. Use this as the extraction validation case, because the source document is real and every field can be checked against a numbered question.</t>
  </si>
  <si>
    <t xml:space="preserve">B</t>
  </si>
  <si>
    <t xml:space="preserve">Meridian Commercial Bank Ltd — synthetic. Jurisdiction with FATF-identified strategic deficiencies, three layers of holding companies through a jurisdiction with no beneficial ownership register, 15 per cent bearer shares, offshore banking licence on one branch, correspondent services to foreign banks. Expected outcome: High. Lands mid-band deliberately, not on a boundary.</t>
  </si>
  <si>
    <t xml:space="preserve">C</t>
  </si>
  <si>
    <t xml:space="preserve">Coastal Offshore Bank — synthetic. No verifiable physical presence, no regulator identified, bearer shares, payable-through accounts offered, no control evidence at all. Expected outcome: Prohibited by score AND refused by hard exclusion. Both routes should fire, which is what makes it a useful test of the two paths.</t>
  </si>
  <si>
    <t xml:space="preserve">Floor demonstration: if case C supplied independently evidenced controls in all four domains, the multiplier would be 0.65^4 = 0.179, giving an unfloored residual of 17.9 on an inherent of 100. The floor lifts it to 20.0 — still Moderate, never Low and never zero. Show this to the panel.</t>
  </si>
  <si>
    <t xml:space="preserve">Score a new case</t>
  </si>
  <si>
    <t xml:space="preserve">Fill the blue cells only. Everything else calculates.</t>
  </si>
  <si>
    <t xml:space="preserve">Respondent name</t>
  </si>
  <si>
    <t xml:space="preserve">[enter name]</t>
  </si>
  <si>
    <t xml:space="preserve">Weights version used</t>
  </si>
  <si>
    <t xml:space="preserve">Recorded on every assessment so a case re-renders with the weights that were live at the time.</t>
  </si>
  <si>
    <t xml:space="preserve">Score 0/3/6/10</t>
  </si>
  <si>
    <t xml:space="preserve">Weighted</t>
  </si>
  <si>
    <t xml:space="preserve">Evidence — cite the CBDDQ question number</t>
  </si>
  <si>
    <t xml:space="preserve">Evidence — what was supplied</t>
  </si>
  <si>
    <t xml:space="preserve">Hard exclusion check — run before relying on the band above</t>
  </si>
  <si>
    <t xml:space="preserve">Shell bank test — no physical presence and not affiliated with a regulated group</t>
  </si>
  <si>
    <t xml:space="preserve">No</t>
  </si>
  <si>
    <t xml:space="preserve">Downstream relationships permitted without identification procedures</t>
  </si>
  <si>
    <t xml:space="preserve">Physical presence in a comprehensively sanctioned jurisdiction (Q108)</t>
  </si>
  <si>
    <t xml:space="preserve">Enter Yes or No in the three cells above. Any Yes refuses the relationship regardless of the calculated band, because FATF Rec 18 is a prohibition rather than a weighted factor.</t>
  </si>
  <si>
    <t xml:space="preserve">Weights configuration version history</t>
  </si>
  <si>
    <t xml:space="preserve">Only the Risk Owner role may change a weight. Every change creates a new row. Assessments record the version that scored them.</t>
  </si>
  <si>
    <t xml:space="preserve">Version</t>
  </si>
  <si>
    <t xml:space="preserve">Date</t>
  </si>
  <si>
    <t xml:space="preserve">Changed by</t>
  </si>
  <si>
    <t xml:space="preserve">Field</t>
  </si>
  <si>
    <t xml:space="preserve">Old value</t>
  </si>
  <si>
    <t xml:space="preserve">New value</t>
  </si>
  <si>
    <t xml:space="preserve">Justification</t>
  </si>
  <si>
    <t xml:space="preserve">v0.1</t>
  </si>
  <si>
    <t xml:space="preserve">2026-09-16</t>
  </si>
  <si>
    <t xml:space="preserve">[name] — draft</t>
  </si>
  <si>
    <t xml:space="preserve">Initial model</t>
  </si>
  <si>
    <t xml:space="preserve">n/a</t>
  </si>
  <si>
    <t xml:space="preserve">First draft. Six factors derived from the four FFIEC risk categories, weighted per the Factors and weights sheet. Four control domains mapped to FATF Rec 5, 6, 7, 15 and 18. Not yet reviewed by the team.</t>
  </si>
  <si>
    <t xml:space="preserve">[next change goes here]</t>
  </si>
  <si>
    <t xml:space="preserve">This sheet is the paper version. In the application these rows live in a versioned configuration table, and the scoring engine records config_version_id against every assessment so a case from last month re-renders with the weights that were live when it was scored.</t>
  </si>
</sst>
</file>

<file path=xl/styles.xml><?xml version="1.0" encoding="utf-8"?>
<styleSheet xmlns="http://schemas.openxmlformats.org/spreadsheetml/2006/main">
  <numFmts count="5">
    <numFmt numFmtId="164" formatCode="General"/>
    <numFmt numFmtId="165" formatCode="General"/>
    <numFmt numFmtId="166" formatCode="0.00"/>
    <numFmt numFmtId="167" formatCode="0.0"/>
    <numFmt numFmtId="168" formatCode="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name val="Arial"/>
      <family val="0"/>
      <charset val="1"/>
    </font>
    <font>
      <sz val="10"/>
      <name val="Arial"/>
      <family val="0"/>
      <charset val="1"/>
    </font>
    <font>
      <b val="true"/>
      <sz val="12"/>
      <name val="Arial"/>
      <family val="0"/>
      <charset val="1"/>
    </font>
    <font>
      <b val="true"/>
      <sz val="11"/>
      <color rgb="FFFFFFFF"/>
      <name val="Arial"/>
      <family val="0"/>
      <charset val="1"/>
    </font>
    <font>
      <i val="true"/>
      <sz val="9"/>
      <name val="Arial"/>
      <family val="0"/>
      <charset val="1"/>
    </font>
    <font>
      <sz val="10"/>
      <color rgb="FF0000FF"/>
      <name val="Arial"/>
      <family val="0"/>
      <charset val="1"/>
    </font>
    <font>
      <sz val="10"/>
      <color rgb="FF008000"/>
      <name val="Arial"/>
      <family val="0"/>
      <charset val="1"/>
    </font>
    <font>
      <i val="true"/>
      <sz val="10"/>
      <color rgb="FF80808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11" fillId="3" borderId="1" xfId="0" applyFont="true" applyBorder="true" applyAlignment="true" applyProtection="false">
      <alignment horizontal="general" vertical="top" textRotation="0" wrapText="true" indent="0" shrinkToFit="false"/>
      <protection locked="true" hidden="false"/>
    </xf>
    <xf numFmtId="166" fontId="11" fillId="3"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67"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8"/>
  </cols>
  <sheetData>
    <row r="1" customFormat="false" ht="17.35" hidden="false" customHeight="false" outlineLevel="0" collapsed="false">
      <c r="A1" s="1" t="s">
        <v>0</v>
      </c>
    </row>
    <row r="2" customFormat="false" ht="15" hidden="false" customHeight="false" outlineLevel="0" collapsed="false">
      <c r="A2" s="2" t="s">
        <v>1</v>
      </c>
    </row>
    <row r="4" customFormat="false" ht="45.75" hidden="false" customHeight="true" outlineLevel="0" collapsed="false">
      <c r="A4" s="3" t="s">
        <v>2</v>
      </c>
      <c r="B4" s="4" t="s">
        <v>3</v>
      </c>
    </row>
    <row r="5" customFormat="false" ht="31.5" hidden="false" customHeight="true" outlineLevel="0" collapsed="false">
      <c r="A5" s="3" t="s">
        <v>4</v>
      </c>
      <c r="B5" s="4" t="s">
        <v>5</v>
      </c>
    </row>
    <row r="6" customFormat="false" ht="31.5" hidden="false" customHeight="true" outlineLevel="0" collapsed="false">
      <c r="A6" s="3" t="s">
        <v>6</v>
      </c>
      <c r="B6" s="4" t="s">
        <v>7</v>
      </c>
    </row>
    <row r="7" customFormat="false" ht="45.75" hidden="false" customHeight="true" outlineLevel="0" collapsed="false">
      <c r="A7" s="3" t="s">
        <v>8</v>
      </c>
      <c r="B7" s="4" t="s">
        <v>9</v>
      </c>
    </row>
    <row r="8" customFormat="false" ht="45.75" hidden="false" customHeight="true" outlineLevel="0" collapsed="false">
      <c r="A8" s="3" t="s">
        <v>10</v>
      </c>
      <c r="B8" s="4" t="s">
        <v>11</v>
      </c>
    </row>
    <row r="9" customFormat="false" ht="45.75" hidden="false" customHeight="true" outlineLevel="0" collapsed="false">
      <c r="A9" s="3" t="s">
        <v>12</v>
      </c>
      <c r="B9" s="4" t="s">
        <v>13</v>
      </c>
    </row>
    <row r="10" customFormat="false" ht="45.75" hidden="false" customHeight="true" outlineLevel="0" collapsed="false">
      <c r="A10" s="3" t="s">
        <v>14</v>
      </c>
      <c r="B10" s="4" t="s">
        <v>15</v>
      </c>
    </row>
    <row r="11" customFormat="false" ht="45.75" hidden="false" customHeight="true" outlineLevel="0" collapsed="false">
      <c r="A11" s="3" t="s">
        <v>16</v>
      </c>
      <c r="B11" s="4" t="s">
        <v>17</v>
      </c>
    </row>
    <row r="12" customFormat="false" ht="45.75" hidden="false" customHeight="true" outlineLevel="0" collapsed="false">
      <c r="A12" s="3" t="s">
        <v>18</v>
      </c>
      <c r="B12" s="4" t="s">
        <v>19</v>
      </c>
    </row>
    <row r="13" customFormat="false" ht="31.5" hidden="false" customHeight="true" outlineLevel="0" collapsed="false">
      <c r="A13" s="3" t="s">
        <v>20</v>
      </c>
      <c r="B13" s="4" t="s">
        <v>21</v>
      </c>
    </row>
    <row r="14" customFormat="false" ht="45.75" hidden="false" customHeight="true" outlineLevel="0" collapsed="false">
      <c r="A14" s="3" t="s">
        <v>22</v>
      </c>
      <c r="B14"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4"/>
    <col collapsed="false" customWidth="true" hidden="false" outlineLevel="0" max="4" min="4" style="0" width="34"/>
    <col collapsed="false" customWidth="true" hidden="false" outlineLevel="0" max="5" min="5" style="0" width="44"/>
  </cols>
  <sheetData>
    <row r="1" customFormat="false" ht="15" hidden="false" customHeight="false" outlineLevel="0" collapsed="false">
      <c r="A1" s="5" t="s">
        <v>24</v>
      </c>
    </row>
    <row r="3" customFormat="false" ht="15" hidden="false" customHeight="false" outlineLevel="0" collapsed="false">
      <c r="A3" s="6" t="s">
        <v>25</v>
      </c>
      <c r="B3" s="6" t="s">
        <v>26</v>
      </c>
      <c r="C3" s="6" t="s">
        <v>27</v>
      </c>
      <c r="D3" s="6" t="s">
        <v>28</v>
      </c>
      <c r="E3" s="6" t="s">
        <v>29</v>
      </c>
    </row>
    <row r="4" customFormat="false" ht="57.75" hidden="false" customHeight="true" outlineLevel="0" collapsed="false">
      <c r="A4" s="7" t="s">
        <v>30</v>
      </c>
      <c r="B4" s="7" t="s">
        <v>31</v>
      </c>
      <c r="C4" s="7" t="s">
        <v>32</v>
      </c>
      <c r="D4" s="7" t="s">
        <v>33</v>
      </c>
      <c r="E4" s="7" t="s">
        <v>34</v>
      </c>
    </row>
    <row r="5" customFormat="false" ht="57.75" hidden="false" customHeight="true" outlineLevel="0" collapsed="false">
      <c r="A5" s="7" t="s">
        <v>35</v>
      </c>
      <c r="B5" s="7" t="s">
        <v>36</v>
      </c>
      <c r="C5" s="7" t="s">
        <v>37</v>
      </c>
      <c r="D5" s="7" t="s">
        <v>38</v>
      </c>
      <c r="E5" s="7" t="s">
        <v>39</v>
      </c>
    </row>
    <row r="6" customFormat="false" ht="57.75" hidden="false" customHeight="true" outlineLevel="0" collapsed="false">
      <c r="A6" s="7" t="s">
        <v>40</v>
      </c>
      <c r="B6" s="7" t="s">
        <v>41</v>
      </c>
      <c r="C6" s="7" t="s">
        <v>37</v>
      </c>
      <c r="D6" s="7" t="s">
        <v>42</v>
      </c>
      <c r="E6" s="7" t="s">
        <v>43</v>
      </c>
    </row>
    <row r="7" customFormat="false" ht="57.75" hidden="false" customHeight="true" outlineLevel="0" collapsed="false">
      <c r="A7" s="7" t="s">
        <v>44</v>
      </c>
      <c r="B7" s="7" t="s">
        <v>45</v>
      </c>
      <c r="C7" s="7" t="s">
        <v>37</v>
      </c>
      <c r="D7" s="7" t="s">
        <v>46</v>
      </c>
      <c r="E7" s="7" t="s">
        <v>47</v>
      </c>
    </row>
    <row r="8" customFormat="false" ht="57.75" hidden="false" customHeight="true" outlineLevel="0" collapsed="false">
      <c r="A8" s="7" t="s">
        <v>48</v>
      </c>
      <c r="B8" s="7" t="s">
        <v>49</v>
      </c>
      <c r="C8" s="7" t="s">
        <v>50</v>
      </c>
      <c r="D8" s="7" t="s">
        <v>51</v>
      </c>
      <c r="E8" s="7" t="s">
        <v>52</v>
      </c>
    </row>
    <row r="9" customFormat="false" ht="57.75" hidden="false" customHeight="true" outlineLevel="0" collapsed="false">
      <c r="A9" s="7" t="s">
        <v>53</v>
      </c>
      <c r="B9" s="7" t="s">
        <v>54</v>
      </c>
      <c r="C9" s="7" t="s">
        <v>37</v>
      </c>
      <c r="D9" s="7" t="s">
        <v>55</v>
      </c>
      <c r="E9" s="7" t="s">
        <v>56</v>
      </c>
    </row>
    <row r="10" customFormat="false" ht="57.75" hidden="false" customHeight="true" outlineLevel="0" collapsed="false">
      <c r="A10" s="7" t="s">
        <v>57</v>
      </c>
      <c r="B10" s="7" t="s">
        <v>58</v>
      </c>
      <c r="C10" s="7" t="s">
        <v>59</v>
      </c>
      <c r="D10" s="7" t="s">
        <v>60</v>
      </c>
      <c r="E10" s="7" t="s">
        <v>61</v>
      </c>
    </row>
    <row r="11" customFormat="false" ht="57.75" hidden="false" customHeight="true" outlineLevel="0" collapsed="false">
      <c r="A11" s="7" t="s">
        <v>62</v>
      </c>
      <c r="B11" s="7" t="s">
        <v>63</v>
      </c>
      <c r="C11" s="7" t="s">
        <v>59</v>
      </c>
      <c r="D11" s="7" t="s">
        <v>64</v>
      </c>
      <c r="E11" s="7" t="s">
        <v>65</v>
      </c>
    </row>
    <row r="12" customFormat="false" ht="57.75" hidden="false" customHeight="true" outlineLevel="0" collapsed="false">
      <c r="A12" s="7" t="s">
        <v>66</v>
      </c>
      <c r="B12" s="7" t="s">
        <v>67</v>
      </c>
      <c r="C12" s="7" t="s">
        <v>59</v>
      </c>
      <c r="D12" s="7" t="s">
        <v>68</v>
      </c>
      <c r="E12" s="7" t="s">
        <v>69</v>
      </c>
    </row>
    <row r="13" customFormat="false" ht="57.75" hidden="false" customHeight="true" outlineLevel="0" collapsed="false">
      <c r="A13" s="7" t="s">
        <v>70</v>
      </c>
      <c r="B13" s="7" t="s">
        <v>71</v>
      </c>
      <c r="C13" s="7" t="s">
        <v>59</v>
      </c>
      <c r="D13" s="7" t="s">
        <v>72</v>
      </c>
      <c r="E13" s="7" t="s">
        <v>73</v>
      </c>
    </row>
    <row r="15" customFormat="false" ht="15" hidden="false" customHeight="false" outlineLevel="0" collapsed="false">
      <c r="A15" s="8"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0"/>
    <col collapsed="false" customWidth="true" hidden="false" outlineLevel="0" max="4" min="4" style="0" width="24"/>
    <col collapsed="false" customWidth="true" hidden="false" outlineLevel="0" max="5" min="5" style="0" width="62"/>
  </cols>
  <sheetData>
    <row r="1" customFormat="false" ht="15" hidden="false" customHeight="false" outlineLevel="0" collapsed="false">
      <c r="A1" s="5" t="s">
        <v>75</v>
      </c>
    </row>
    <row r="2" customFormat="false" ht="15" hidden="false" customHeight="false" outlineLevel="0" collapsed="false">
      <c r="A2" s="2" t="s">
        <v>76</v>
      </c>
    </row>
    <row r="4" customFormat="false" ht="15" hidden="false" customHeight="false" outlineLevel="0" collapsed="false">
      <c r="A4" s="6" t="s">
        <v>25</v>
      </c>
      <c r="B4" s="6" t="s">
        <v>77</v>
      </c>
      <c r="C4" s="6" t="s">
        <v>78</v>
      </c>
      <c r="D4" s="6" t="s">
        <v>79</v>
      </c>
      <c r="E4" s="6" t="s">
        <v>80</v>
      </c>
    </row>
    <row r="5" customFormat="false" ht="49.5" hidden="false" customHeight="true" outlineLevel="0" collapsed="false">
      <c r="A5" s="7" t="s">
        <v>30</v>
      </c>
      <c r="B5" s="7" t="s">
        <v>31</v>
      </c>
      <c r="C5" s="9" t="n">
        <v>20</v>
      </c>
      <c r="D5" s="7" t="s">
        <v>32</v>
      </c>
      <c r="E5" s="7" t="s">
        <v>81</v>
      </c>
    </row>
    <row r="6" customFormat="false" ht="49.5" hidden="false" customHeight="true" outlineLevel="0" collapsed="false">
      <c r="A6" s="7" t="s">
        <v>35</v>
      </c>
      <c r="B6" s="7" t="s">
        <v>36</v>
      </c>
      <c r="C6" s="9" t="n">
        <v>15</v>
      </c>
      <c r="D6" s="7" t="s">
        <v>37</v>
      </c>
      <c r="E6" s="7" t="s">
        <v>82</v>
      </c>
    </row>
    <row r="7" customFormat="false" ht="49.5" hidden="false" customHeight="true" outlineLevel="0" collapsed="false">
      <c r="A7" s="7" t="s">
        <v>40</v>
      </c>
      <c r="B7" s="7" t="s">
        <v>41</v>
      </c>
      <c r="C7" s="9" t="n">
        <v>20</v>
      </c>
      <c r="D7" s="7" t="s">
        <v>37</v>
      </c>
      <c r="E7" s="7" t="s">
        <v>83</v>
      </c>
    </row>
    <row r="8" customFormat="false" ht="49.5" hidden="false" customHeight="true" outlineLevel="0" collapsed="false">
      <c r="A8" s="7" t="s">
        <v>44</v>
      </c>
      <c r="B8" s="7" t="s">
        <v>45</v>
      </c>
      <c r="C8" s="9" t="n">
        <v>10</v>
      </c>
      <c r="D8" s="7" t="s">
        <v>37</v>
      </c>
      <c r="E8" s="7" t="s">
        <v>84</v>
      </c>
    </row>
    <row r="9" customFormat="false" ht="49.5" hidden="false" customHeight="true" outlineLevel="0" collapsed="false">
      <c r="A9" s="7" t="s">
        <v>48</v>
      </c>
      <c r="B9" s="7" t="s">
        <v>49</v>
      </c>
      <c r="C9" s="9" t="n">
        <v>25</v>
      </c>
      <c r="D9" s="7" t="s">
        <v>50</v>
      </c>
      <c r="E9" s="7" t="s">
        <v>85</v>
      </c>
    </row>
    <row r="10" customFormat="false" ht="49.5" hidden="false" customHeight="true" outlineLevel="0" collapsed="false">
      <c r="A10" s="7" t="s">
        <v>53</v>
      </c>
      <c r="B10" s="7" t="s">
        <v>54</v>
      </c>
      <c r="C10" s="9" t="n">
        <v>10</v>
      </c>
      <c r="D10" s="7" t="s">
        <v>37</v>
      </c>
      <c r="E10" s="7" t="s">
        <v>86</v>
      </c>
    </row>
    <row r="11" customFormat="false" ht="15" hidden="false" customHeight="false" outlineLevel="0" collapsed="false">
      <c r="B11" s="10" t="s">
        <v>87</v>
      </c>
      <c r="C11" s="11" t="n">
        <f aca="false">SUM(C5:C10)</f>
        <v>100</v>
      </c>
      <c r="D11" s="10" t="str">
        <f aca="false">IF(C11=100,"OK","ERROR - weights must total 100")</f>
        <v>OK</v>
      </c>
    </row>
    <row r="13" customFormat="false" ht="15" hidden="false" customHeight="false" outlineLevel="0" collapsed="false">
      <c r="A13" s="10" t="s">
        <v>88</v>
      </c>
    </row>
    <row r="14" customFormat="false" ht="27.75" hidden="false" customHeight="true" outlineLevel="0" collapsed="false">
      <c r="A14" s="12" t="s">
        <v>89</v>
      </c>
      <c r="B14" s="4" t="s">
        <v>90</v>
      </c>
    </row>
    <row r="15" customFormat="false" ht="27.75" hidden="false" customHeight="true" outlineLevel="0" collapsed="false">
      <c r="A15" s="12" t="s">
        <v>91</v>
      </c>
      <c r="B15" s="4" t="s">
        <v>92</v>
      </c>
    </row>
    <row r="16" customFormat="false" ht="27.75" hidden="false" customHeight="true" outlineLevel="0" collapsed="false">
      <c r="A16" s="12" t="s">
        <v>93</v>
      </c>
      <c r="B16" s="4" t="s">
        <v>94</v>
      </c>
    </row>
    <row r="17" customFormat="false" ht="27.75" hidden="false" customHeight="true" outlineLevel="0" collapsed="false">
      <c r="A17" s="12" t="s">
        <v>95</v>
      </c>
      <c r="B17" s="4" t="s">
        <v>96</v>
      </c>
    </row>
    <row r="19" customFormat="false" ht="15" hidden="false" customHeight="false" outlineLevel="0" collapsed="false">
      <c r="A19" s="2" t="s">
        <v>97</v>
      </c>
    </row>
    <row r="20" customFormat="false" ht="15" hidden="false" customHeight="false" outlineLevel="0" collapsed="false">
      <c r="A20" s="10"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6" min="3" style="0" width="38"/>
  </cols>
  <sheetData>
    <row r="1" customFormat="false" ht="15" hidden="false" customHeight="false" outlineLevel="0" collapsed="false">
      <c r="A1" s="5" t="s">
        <v>99</v>
      </c>
    </row>
    <row r="3" customFormat="false" ht="15" hidden="false" customHeight="false" outlineLevel="0" collapsed="false">
      <c r="A3" s="6" t="s">
        <v>25</v>
      </c>
      <c r="B3" s="6" t="s">
        <v>77</v>
      </c>
      <c r="C3" s="6" t="s">
        <v>100</v>
      </c>
      <c r="D3" s="6" t="s">
        <v>101</v>
      </c>
      <c r="E3" s="6" t="s">
        <v>102</v>
      </c>
      <c r="F3" s="6" t="s">
        <v>103</v>
      </c>
    </row>
    <row r="4" customFormat="false" ht="91.5" hidden="false" customHeight="true" outlineLevel="0" collapsed="false">
      <c r="A4" s="7" t="s">
        <v>30</v>
      </c>
      <c r="B4" s="7" t="s">
        <v>31</v>
      </c>
      <c r="C4" s="7" t="s">
        <v>104</v>
      </c>
      <c r="D4" s="7" t="s">
        <v>105</v>
      </c>
      <c r="E4" s="7" t="s">
        <v>106</v>
      </c>
      <c r="F4" s="7" t="s">
        <v>107</v>
      </c>
    </row>
    <row r="5" customFormat="false" ht="91.5" hidden="false" customHeight="true" outlineLevel="0" collapsed="false">
      <c r="A5" s="7" t="s">
        <v>35</v>
      </c>
      <c r="B5" s="7" t="s">
        <v>36</v>
      </c>
      <c r="C5" s="7" t="s">
        <v>108</v>
      </c>
      <c r="D5" s="7" t="s">
        <v>109</v>
      </c>
      <c r="E5" s="7" t="s">
        <v>110</v>
      </c>
      <c r="F5" s="7" t="s">
        <v>111</v>
      </c>
    </row>
    <row r="6" customFormat="false" ht="91.5" hidden="false" customHeight="true" outlineLevel="0" collapsed="false">
      <c r="A6" s="7" t="s">
        <v>40</v>
      </c>
      <c r="B6" s="7" t="s">
        <v>41</v>
      </c>
      <c r="C6" s="7" t="s">
        <v>112</v>
      </c>
      <c r="D6" s="7" t="s">
        <v>113</v>
      </c>
      <c r="E6" s="7" t="s">
        <v>114</v>
      </c>
      <c r="F6" s="7" t="s">
        <v>115</v>
      </c>
    </row>
    <row r="7" customFormat="false" ht="91.5" hidden="false" customHeight="true" outlineLevel="0" collapsed="false">
      <c r="A7" s="7" t="s">
        <v>44</v>
      </c>
      <c r="B7" s="7" t="s">
        <v>45</v>
      </c>
      <c r="C7" s="7" t="s">
        <v>116</v>
      </c>
      <c r="D7" s="7" t="s">
        <v>117</v>
      </c>
      <c r="E7" s="7" t="s">
        <v>118</v>
      </c>
      <c r="F7" s="7" t="s">
        <v>119</v>
      </c>
    </row>
    <row r="8" customFormat="false" ht="91.5" hidden="false" customHeight="true" outlineLevel="0" collapsed="false">
      <c r="A8" s="7" t="s">
        <v>48</v>
      </c>
      <c r="B8" s="7" t="s">
        <v>49</v>
      </c>
      <c r="C8" s="7" t="s">
        <v>120</v>
      </c>
      <c r="D8" s="7" t="s">
        <v>121</v>
      </c>
      <c r="E8" s="7" t="s">
        <v>122</v>
      </c>
      <c r="F8" s="7" t="s">
        <v>123</v>
      </c>
    </row>
    <row r="9" customFormat="false" ht="91.5" hidden="false" customHeight="true" outlineLevel="0" collapsed="false">
      <c r="A9" s="7" t="s">
        <v>53</v>
      </c>
      <c r="B9" s="7" t="s">
        <v>54</v>
      </c>
      <c r="C9" s="7" t="s">
        <v>124</v>
      </c>
      <c r="D9" s="7" t="s">
        <v>125</v>
      </c>
      <c r="E9" s="7" t="s">
        <v>126</v>
      </c>
      <c r="F9" s="7"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92"/>
    <col collapsed="false" customWidth="true" hidden="false" outlineLevel="0" max="4" min="4" style="0" width="60"/>
  </cols>
  <sheetData>
    <row r="1" customFormat="false" ht="15" hidden="false" customHeight="false" outlineLevel="0" collapsed="false">
      <c r="A1" s="5" t="s">
        <v>128</v>
      </c>
    </row>
    <row r="2" customFormat="false" ht="15" hidden="false" customHeight="false" outlineLevel="0" collapsed="false">
      <c r="A2" s="2" t="s">
        <v>129</v>
      </c>
    </row>
    <row r="4" customFormat="false" ht="15" hidden="false" customHeight="false" outlineLevel="0" collapsed="false">
      <c r="A4" s="6" t="s">
        <v>130</v>
      </c>
      <c r="B4" s="6" t="s">
        <v>131</v>
      </c>
      <c r="C4" s="6" t="s">
        <v>132</v>
      </c>
    </row>
    <row r="5" customFormat="false" ht="55.5" hidden="false" customHeight="true" outlineLevel="0" collapsed="false">
      <c r="A5" s="13" t="s">
        <v>133</v>
      </c>
      <c r="B5" s="14" t="n">
        <v>0.65</v>
      </c>
      <c r="C5" s="7" t="s">
        <v>134</v>
      </c>
    </row>
    <row r="6" customFormat="false" ht="55.5" hidden="false" customHeight="true" outlineLevel="0" collapsed="false">
      <c r="A6" s="13" t="s">
        <v>135</v>
      </c>
      <c r="B6" s="14" t="n">
        <v>0.82</v>
      </c>
      <c r="C6" s="7" t="s">
        <v>136</v>
      </c>
    </row>
    <row r="7" customFormat="false" ht="55.5" hidden="false" customHeight="true" outlineLevel="0" collapsed="false">
      <c r="A7" s="13" t="s">
        <v>137</v>
      </c>
      <c r="B7" s="14" t="n">
        <v>0.94</v>
      </c>
      <c r="C7" s="7" t="s">
        <v>138</v>
      </c>
    </row>
    <row r="8" customFormat="false" ht="55.5" hidden="false" customHeight="true" outlineLevel="0" collapsed="false">
      <c r="A8" s="13" t="s">
        <v>139</v>
      </c>
      <c r="B8" s="14" t="n">
        <v>1</v>
      </c>
      <c r="C8" s="7" t="s">
        <v>140</v>
      </c>
    </row>
    <row r="11" customFormat="false" ht="15" hidden="false" customHeight="false" outlineLevel="0" collapsed="false">
      <c r="A11" s="10" t="s">
        <v>141</v>
      </c>
    </row>
    <row r="12" customFormat="false" ht="15" hidden="false" customHeight="false" outlineLevel="0" collapsed="false">
      <c r="A12" s="6" t="s">
        <v>25</v>
      </c>
      <c r="B12" s="6" t="s">
        <v>142</v>
      </c>
      <c r="C12" s="6" t="s">
        <v>143</v>
      </c>
      <c r="D12" s="6" t="s">
        <v>144</v>
      </c>
    </row>
    <row r="13" customFormat="false" ht="30" hidden="false" customHeight="true" outlineLevel="0" collapsed="false">
      <c r="A13" s="7" t="s">
        <v>57</v>
      </c>
      <c r="B13" s="7" t="s">
        <v>58</v>
      </c>
      <c r="C13" s="7" t="s">
        <v>145</v>
      </c>
      <c r="D13" s="7" t="s">
        <v>146</v>
      </c>
    </row>
    <row r="14" customFormat="false" ht="30" hidden="false" customHeight="true" outlineLevel="0" collapsed="false">
      <c r="A14" s="7" t="s">
        <v>62</v>
      </c>
      <c r="B14" s="7" t="s">
        <v>63</v>
      </c>
      <c r="C14" s="7" t="s">
        <v>147</v>
      </c>
      <c r="D14" s="7" t="s">
        <v>148</v>
      </c>
    </row>
    <row r="15" customFormat="false" ht="30" hidden="false" customHeight="true" outlineLevel="0" collapsed="false">
      <c r="A15" s="7" t="s">
        <v>66</v>
      </c>
      <c r="B15" s="7" t="s">
        <v>67</v>
      </c>
      <c r="C15" s="7" t="s">
        <v>149</v>
      </c>
      <c r="D15" s="7" t="s">
        <v>150</v>
      </c>
    </row>
    <row r="16" customFormat="false" ht="30" hidden="false" customHeight="true" outlineLevel="0" collapsed="false">
      <c r="A16" s="7" t="s">
        <v>70</v>
      </c>
      <c r="B16" s="7" t="s">
        <v>71</v>
      </c>
      <c r="C16" s="7" t="s">
        <v>151</v>
      </c>
      <c r="D16" s="7" t="s">
        <v>152</v>
      </c>
    </row>
    <row r="19" customFormat="false" ht="15" hidden="false" customHeight="false" outlineLevel="0" collapsed="false">
      <c r="A19" s="10" t="s">
        <v>153</v>
      </c>
      <c r="B19" s="15" t="n">
        <v>0.2</v>
      </c>
      <c r="C19" s="16" t="s">
        <v>154</v>
      </c>
    </row>
    <row r="20" customFormat="false" ht="45.75" hidden="false" customHeight="true" outlineLevel="0" collapsed="false">
      <c r="A20" s="10" t="s">
        <v>155</v>
      </c>
      <c r="C20" s="4" t="s">
        <v>156</v>
      </c>
    </row>
    <row r="22" customFormat="false" ht="15" hidden="false" customHeight="false" outlineLevel="0" collapsed="false">
      <c r="A22" s="10" t="s">
        <v>157</v>
      </c>
    </row>
    <row r="23" customFormat="false" ht="15" hidden="false" customHeight="false" outlineLevel="0" collapsed="false">
      <c r="A23" s="6" t="s">
        <v>158</v>
      </c>
      <c r="B23" s="6" t="s">
        <v>159</v>
      </c>
      <c r="C23" s="6" t="s">
        <v>160</v>
      </c>
    </row>
    <row r="24" customFormat="false" ht="15" hidden="false" customHeight="false" outlineLevel="0" collapsed="false">
      <c r="A24" s="17" t="n">
        <v>0</v>
      </c>
      <c r="B24" s="18" t="s">
        <v>161</v>
      </c>
      <c r="C24" s="7" t="s">
        <v>162</v>
      </c>
    </row>
    <row r="25" customFormat="false" ht="15" hidden="false" customHeight="false" outlineLevel="0" collapsed="false">
      <c r="A25" s="17" t="n">
        <v>20</v>
      </c>
      <c r="B25" s="18" t="s">
        <v>163</v>
      </c>
      <c r="C25" s="7" t="s">
        <v>164</v>
      </c>
    </row>
    <row r="26" customFormat="false" ht="15" hidden="false" customHeight="false" outlineLevel="0" collapsed="false">
      <c r="A26" s="17" t="n">
        <v>40</v>
      </c>
      <c r="B26" s="18" t="s">
        <v>165</v>
      </c>
      <c r="C26" s="7" t="s">
        <v>166</v>
      </c>
    </row>
    <row r="27" customFormat="false" ht="15" hidden="false" customHeight="false" outlineLevel="0" collapsed="false">
      <c r="A27" s="17" t="n">
        <v>65</v>
      </c>
      <c r="B27" s="18" t="s">
        <v>167</v>
      </c>
      <c r="C27" s="7"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54"/>
    <col collapsed="false" customWidth="true" hidden="false" outlineLevel="0" max="4" min="4" style="0" width="26"/>
  </cols>
  <sheetData>
    <row r="1" customFormat="false" ht="15" hidden="false" customHeight="false" outlineLevel="0" collapsed="false">
      <c r="A1" s="5" t="s">
        <v>169</v>
      </c>
    </row>
    <row r="2" customFormat="false" ht="15" hidden="false" customHeight="false" outlineLevel="0" collapsed="false">
      <c r="A2" s="2" t="s">
        <v>170</v>
      </c>
    </row>
    <row r="4" customFormat="false" ht="15" hidden="false" customHeight="false" outlineLevel="0" collapsed="false">
      <c r="A4" s="6" t="s">
        <v>171</v>
      </c>
      <c r="B4" s="6" t="s">
        <v>172</v>
      </c>
      <c r="C4" s="6" t="s">
        <v>173</v>
      </c>
      <c r="D4" s="6" t="s">
        <v>174</v>
      </c>
    </row>
    <row r="5" customFormat="false" ht="57.75" hidden="false" customHeight="true" outlineLevel="0" collapsed="false">
      <c r="A5" s="7" t="s">
        <v>175</v>
      </c>
      <c r="B5" s="7" t="s">
        <v>176</v>
      </c>
      <c r="C5" s="7" t="s">
        <v>177</v>
      </c>
      <c r="D5" s="7" t="s">
        <v>178</v>
      </c>
    </row>
    <row r="6" customFormat="false" ht="57.75" hidden="false" customHeight="true" outlineLevel="0" collapsed="false">
      <c r="A6" s="7" t="s">
        <v>179</v>
      </c>
      <c r="B6" s="7" t="s">
        <v>180</v>
      </c>
      <c r="C6" s="7" t="s">
        <v>181</v>
      </c>
      <c r="D6" s="7" t="s">
        <v>182</v>
      </c>
    </row>
    <row r="7" customFormat="false" ht="57.75" hidden="false" customHeight="true" outlineLevel="0" collapsed="false">
      <c r="A7" s="7" t="s">
        <v>183</v>
      </c>
      <c r="B7" s="7" t="s">
        <v>184</v>
      </c>
      <c r="C7" s="7" t="s">
        <v>185</v>
      </c>
      <c r="D7" s="7" t="s">
        <v>178</v>
      </c>
    </row>
    <row r="8" customFormat="false" ht="57.75" hidden="false" customHeight="true" outlineLevel="0" collapsed="false">
      <c r="A8" s="7" t="s">
        <v>186</v>
      </c>
      <c r="B8" s="7" t="s">
        <v>187</v>
      </c>
      <c r="C8" s="7" t="s">
        <v>188</v>
      </c>
      <c r="D8" s="7" t="s">
        <v>189</v>
      </c>
    </row>
    <row r="11" customFormat="false" ht="15" hidden="false" customHeight="false" outlineLevel="0" collapsed="false">
      <c r="A11" s="10" t="s">
        <v>190</v>
      </c>
    </row>
    <row r="12" customFormat="false" ht="78" hidden="false" customHeight="true" outlineLevel="0" collapsed="false">
      <c r="A12" s="19" t="s">
        <v>191</v>
      </c>
      <c r="B12" s="19"/>
      <c r="C12" s="19"/>
      <c r="D12" s="19"/>
    </row>
  </sheetData>
  <mergeCells count="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9"/>
    <col collapsed="false" customWidth="true" hidden="false" outlineLevel="0" max="9" min="4" style="0" width="13"/>
    <col collapsed="false" customWidth="true" hidden="false" outlineLevel="0" max="10" min="10" style="0" width="46"/>
  </cols>
  <sheetData>
    <row r="1" customFormat="false" ht="15" hidden="false" customHeight="false" outlineLevel="0" collapsed="false">
      <c r="A1" s="5" t="s">
        <v>192</v>
      </c>
    </row>
    <row r="2" customFormat="false" ht="15" hidden="false" customHeight="false" outlineLevel="0" collapsed="false">
      <c r="A2" s="2" t="s">
        <v>193</v>
      </c>
    </row>
    <row r="4" customFormat="false" ht="15" hidden="false" customHeight="false" outlineLevel="0" collapsed="false">
      <c r="A4" s="6" t="s">
        <v>25</v>
      </c>
      <c r="B4" s="6" t="s">
        <v>77</v>
      </c>
      <c r="C4" s="6" t="s">
        <v>78</v>
      </c>
      <c r="D4" s="6" t="s">
        <v>194</v>
      </c>
      <c r="E4" s="6" t="s">
        <v>195</v>
      </c>
      <c r="F4" s="6" t="s">
        <v>196</v>
      </c>
      <c r="G4" s="6" t="s">
        <v>197</v>
      </c>
      <c r="H4" s="6" t="s">
        <v>198</v>
      </c>
      <c r="I4" s="6" t="s">
        <v>199</v>
      </c>
      <c r="J4" s="6" t="s">
        <v>200</v>
      </c>
    </row>
    <row r="5" customFormat="false" ht="48" hidden="false" customHeight="true" outlineLevel="0" collapsed="false">
      <c r="A5" s="20" t="s">
        <v>30</v>
      </c>
      <c r="B5" s="21" t="str">
        <f aca="false">'Factors and weights'!B5</f>
        <v>Jurisdiction and geographic footprint</v>
      </c>
      <c r="C5" s="22" t="n">
        <f aca="false">'Factors and weights'!C5</f>
        <v>20</v>
      </c>
      <c r="D5" s="23" t="n">
        <v>3</v>
      </c>
      <c r="E5" s="24" t="n">
        <f aca="false">D5/10*$C5</f>
        <v>6</v>
      </c>
      <c r="F5" s="23" t="n">
        <v>10</v>
      </c>
      <c r="G5" s="24" t="n">
        <f aca="false">F5/10*$C5</f>
        <v>20</v>
      </c>
      <c r="H5" s="23" t="n">
        <v>10</v>
      </c>
      <c r="I5" s="24" t="n">
        <f aca="false">H5/10*$C5</f>
        <v>20</v>
      </c>
      <c r="J5" s="7" t="s">
        <v>201</v>
      </c>
    </row>
    <row r="6" customFormat="false" ht="48" hidden="false" customHeight="true" outlineLevel="0" collapsed="false">
      <c r="A6" s="20" t="s">
        <v>35</v>
      </c>
      <c r="B6" s="21" t="str">
        <f aca="false">'Factors and weights'!B6</f>
        <v>Quality of supervision and regulatory standing</v>
      </c>
      <c r="C6" s="22" t="n">
        <f aca="false">'Factors and weights'!C6</f>
        <v>15</v>
      </c>
      <c r="D6" s="23" t="n">
        <v>0</v>
      </c>
      <c r="E6" s="24" t="n">
        <f aca="false">D6/10*$C6</f>
        <v>0</v>
      </c>
      <c r="F6" s="23" t="n">
        <v>3</v>
      </c>
      <c r="G6" s="24" t="n">
        <f aca="false">F6/10*$C6</f>
        <v>4.5</v>
      </c>
      <c r="H6" s="23" t="n">
        <v>10</v>
      </c>
      <c r="I6" s="24" t="n">
        <f aca="false">H6/10*$C6</f>
        <v>15</v>
      </c>
      <c r="J6" s="7" t="s">
        <v>202</v>
      </c>
    </row>
    <row r="7" customFormat="false" ht="48" hidden="false" customHeight="true" outlineLevel="0" collapsed="false">
      <c r="A7" s="20" t="s">
        <v>40</v>
      </c>
      <c r="B7" s="21" t="str">
        <f aca="false">'Factors and weights'!B7</f>
        <v>Ownership and control transparency</v>
      </c>
      <c r="C7" s="22" t="n">
        <f aca="false">'Factors and weights'!C7</f>
        <v>20</v>
      </c>
      <c r="D7" s="23" t="n">
        <v>0</v>
      </c>
      <c r="E7" s="24" t="n">
        <f aca="false">D7/10*$C7</f>
        <v>0</v>
      </c>
      <c r="F7" s="23" t="n">
        <v>10</v>
      </c>
      <c r="G7" s="24" t="n">
        <f aca="false">F7/10*$C7</f>
        <v>20</v>
      </c>
      <c r="H7" s="23" t="n">
        <v>10</v>
      </c>
      <c r="I7" s="24" t="n">
        <f aca="false">H7/10*$C7</f>
        <v>20</v>
      </c>
      <c r="J7" s="7" t="s">
        <v>203</v>
      </c>
    </row>
    <row r="8" customFormat="false" ht="48" hidden="false" customHeight="true" outlineLevel="0" collapsed="false">
      <c r="A8" s="20" t="s">
        <v>44</v>
      </c>
      <c r="B8" s="21" t="str">
        <f aca="false">'Factors and weights'!B8</f>
        <v>Physical presence and shell bank proximity</v>
      </c>
      <c r="C8" s="22" t="n">
        <f aca="false">'Factors and weights'!C8</f>
        <v>10</v>
      </c>
      <c r="D8" s="23" t="n">
        <v>0</v>
      </c>
      <c r="E8" s="24" t="n">
        <f aca="false">D8/10*$C8</f>
        <v>0</v>
      </c>
      <c r="F8" s="23" t="n">
        <v>6</v>
      </c>
      <c r="G8" s="24" t="n">
        <f aca="false">F8/10*$C8</f>
        <v>6</v>
      </c>
      <c r="H8" s="23" t="n">
        <v>10</v>
      </c>
      <c r="I8" s="24" t="n">
        <f aca="false">H8/10*$C8</f>
        <v>10</v>
      </c>
      <c r="J8" s="7" t="s">
        <v>204</v>
      </c>
    </row>
    <row r="9" customFormat="false" ht="48" hidden="false" customHeight="true" outlineLevel="0" collapsed="false">
      <c r="A9" s="20" t="s">
        <v>48</v>
      </c>
      <c r="B9" s="21" t="str">
        <f aca="false">'Factors and weights'!B9</f>
        <v>Products, services and delivery channels</v>
      </c>
      <c r="C9" s="22" t="n">
        <f aca="false">'Factors and weights'!C9</f>
        <v>25</v>
      </c>
      <c r="D9" s="23" t="n">
        <v>6</v>
      </c>
      <c r="E9" s="24" t="n">
        <f aca="false">D9/10*$C9</f>
        <v>15</v>
      </c>
      <c r="F9" s="23" t="n">
        <v>6</v>
      </c>
      <c r="G9" s="24" t="n">
        <f aca="false">F9/10*$C9</f>
        <v>15</v>
      </c>
      <c r="H9" s="23" t="n">
        <v>10</v>
      </c>
      <c r="I9" s="24" t="n">
        <f aca="false">H9/10*$C9</f>
        <v>25</v>
      </c>
      <c r="J9" s="7" t="s">
        <v>205</v>
      </c>
    </row>
    <row r="10" customFormat="false" ht="48" hidden="false" customHeight="true" outlineLevel="0" collapsed="false">
      <c r="A10" s="20" t="s">
        <v>53</v>
      </c>
      <c r="B10" s="21" t="str">
        <f aca="false">'Factors and weights'!B10</f>
        <v>Customer base and PEP exposure</v>
      </c>
      <c r="C10" s="22" t="n">
        <f aca="false">'Factors and weights'!C10</f>
        <v>10</v>
      </c>
      <c r="D10" s="23" t="n">
        <v>6</v>
      </c>
      <c r="E10" s="24" t="n">
        <f aca="false">D10/10*$C10</f>
        <v>6</v>
      </c>
      <c r="F10" s="23" t="n">
        <v>6</v>
      </c>
      <c r="G10" s="24" t="n">
        <f aca="false">F10/10*$C10</f>
        <v>6</v>
      </c>
      <c r="H10" s="23" t="n">
        <v>10</v>
      </c>
      <c r="I10" s="24" t="n">
        <f aca="false">H10/10*$C10</f>
        <v>10</v>
      </c>
      <c r="J10" s="7" t="s">
        <v>206</v>
      </c>
    </row>
    <row r="11" customFormat="false" ht="15" hidden="false" customHeight="false" outlineLevel="0" collapsed="false">
      <c r="B11" s="18" t="s">
        <v>207</v>
      </c>
      <c r="E11" s="25" t="n">
        <f aca="false">SUM(E5:E10)</f>
        <v>27</v>
      </c>
      <c r="G11" s="25" t="n">
        <f aca="false">SUM(G5:G10)</f>
        <v>71.5</v>
      </c>
      <c r="I11" s="25" t="n">
        <f aca="false">SUM(I5:I10)</f>
        <v>100</v>
      </c>
    </row>
    <row r="13" customFormat="false" ht="15" hidden="false" customHeight="false" outlineLevel="0" collapsed="false">
      <c r="B13" s="10" t="s">
        <v>208</v>
      </c>
    </row>
    <row r="14" customFormat="false" ht="43.5" hidden="false" customHeight="true" outlineLevel="0" collapsed="false">
      <c r="A14" s="26" t="s">
        <v>57</v>
      </c>
      <c r="B14" s="21" t="str">
        <f aca="false">'Control multipliers'!B13</f>
        <v>AML, CTF and sanctions programme with independent testing</v>
      </c>
      <c r="C14" s="27"/>
      <c r="D14" s="28" t="s">
        <v>135</v>
      </c>
      <c r="E14" s="29" t="n">
        <f aca="false">INDEX('Control multipliers'!$B$5:$B$8,MATCH(D14,'Control multipliers'!$A$5:$A$8,0))</f>
        <v>0.82</v>
      </c>
      <c r="F14" s="28" t="s">
        <v>137</v>
      </c>
      <c r="G14" s="29" t="n">
        <f aca="false">INDEX('Control multipliers'!$B$5:$B$8,MATCH(F14,'Control multipliers'!$A$5:$A$8,0))</f>
        <v>0.94</v>
      </c>
      <c r="H14" s="28" t="s">
        <v>139</v>
      </c>
      <c r="I14" s="29" t="n">
        <f aca="false">INDEX('Control multipliers'!$B$5:$B$8,MATCH(H14,'Control multipliers'!$A$5:$A$8,0))</f>
        <v>1</v>
      </c>
      <c r="J14" s="7" t="s">
        <v>209</v>
      </c>
    </row>
    <row r="15" customFormat="false" ht="43.5" hidden="false" customHeight="true" outlineLevel="0" collapsed="false">
      <c r="A15" s="26" t="s">
        <v>62</v>
      </c>
      <c r="B15" s="21" t="str">
        <f aca="false">'Control multipliers'!B14</f>
        <v>Customer due diligence and beneficial ownership</v>
      </c>
      <c r="C15" s="27"/>
      <c r="D15" s="28" t="s">
        <v>137</v>
      </c>
      <c r="E15" s="29" t="n">
        <f aca="false">INDEX('Control multipliers'!$B$5:$B$8,MATCH(D15,'Control multipliers'!$A$5:$A$8,0))</f>
        <v>0.94</v>
      </c>
      <c r="F15" s="28" t="s">
        <v>137</v>
      </c>
      <c r="G15" s="29" t="n">
        <f aca="false">INDEX('Control multipliers'!$B$5:$B$8,MATCH(F15,'Control multipliers'!$A$5:$A$8,0))</f>
        <v>0.94</v>
      </c>
      <c r="H15" s="28" t="s">
        <v>139</v>
      </c>
      <c r="I15" s="29" t="n">
        <f aca="false">INDEX('Control multipliers'!$B$5:$B$8,MATCH(H15,'Control multipliers'!$A$5:$A$8,0))</f>
        <v>1</v>
      </c>
      <c r="J15" s="7" t="s">
        <v>210</v>
      </c>
    </row>
    <row r="16" customFormat="false" ht="43.5" hidden="false" customHeight="true" outlineLevel="0" collapsed="false">
      <c r="A16" s="26" t="s">
        <v>66</v>
      </c>
      <c r="B16" s="21" t="str">
        <f aca="false">'Control multipliers'!B15</f>
        <v>Sanctions and PEP screening</v>
      </c>
      <c r="C16" s="27"/>
      <c r="D16" s="28" t="s">
        <v>135</v>
      </c>
      <c r="E16" s="29" t="n">
        <f aca="false">INDEX('Control multipliers'!$B$5:$B$8,MATCH(D16,'Control multipliers'!$A$5:$A$8,0))</f>
        <v>0.82</v>
      </c>
      <c r="F16" s="28" t="s">
        <v>137</v>
      </c>
      <c r="G16" s="29" t="n">
        <f aca="false">INDEX('Control multipliers'!$B$5:$B$8,MATCH(F16,'Control multipliers'!$A$5:$A$8,0))</f>
        <v>0.94</v>
      </c>
      <c r="H16" s="28" t="s">
        <v>139</v>
      </c>
      <c r="I16" s="29" t="n">
        <f aca="false">INDEX('Control multipliers'!$B$5:$B$8,MATCH(H16,'Control multipliers'!$A$5:$A$8,0))</f>
        <v>1</v>
      </c>
      <c r="J16" s="7" t="s">
        <v>211</v>
      </c>
    </row>
    <row r="17" customFormat="false" ht="43.5" hidden="false" customHeight="true" outlineLevel="0" collapsed="false">
      <c r="A17" s="26" t="s">
        <v>70</v>
      </c>
      <c r="B17" s="21" t="str">
        <f aca="false">'Control multipliers'!B16</f>
        <v>Correspondent and downstream relationship controls</v>
      </c>
      <c r="C17" s="27"/>
      <c r="D17" s="28" t="s">
        <v>137</v>
      </c>
      <c r="E17" s="29" t="n">
        <f aca="false">INDEX('Control multipliers'!$B$5:$B$8,MATCH(D17,'Control multipliers'!$A$5:$A$8,0))</f>
        <v>0.94</v>
      </c>
      <c r="F17" s="28" t="s">
        <v>139</v>
      </c>
      <c r="G17" s="29" t="n">
        <f aca="false">INDEX('Control multipliers'!$B$5:$B$8,MATCH(F17,'Control multipliers'!$A$5:$A$8,0))</f>
        <v>1</v>
      </c>
      <c r="H17" s="28" t="s">
        <v>139</v>
      </c>
      <c r="I17" s="29" t="n">
        <f aca="false">INDEX('Control multipliers'!$B$5:$B$8,MATCH(H17,'Control multipliers'!$A$5:$A$8,0))</f>
        <v>1</v>
      </c>
      <c r="J17" s="7" t="s">
        <v>212</v>
      </c>
    </row>
    <row r="18" customFormat="false" ht="15" hidden="false" customHeight="false" outlineLevel="0" collapsed="false">
      <c r="B18" s="18" t="s">
        <v>213</v>
      </c>
      <c r="E18" s="30" t="n">
        <f aca="false">E14*E15*E16*E17</f>
        <v>0.59413264</v>
      </c>
      <c r="G18" s="30" t="n">
        <f aca="false">G14*G15*G16*G17</f>
        <v>0.830584</v>
      </c>
      <c r="I18" s="30" t="n">
        <f aca="false">I14*I15*I16*I17</f>
        <v>1</v>
      </c>
      <c r="J18" s="16" t="s">
        <v>214</v>
      </c>
    </row>
    <row r="19" customFormat="false" ht="15" hidden="false" customHeight="false" outlineLevel="0" collapsed="false">
      <c r="B19" s="26" t="s">
        <v>215</v>
      </c>
      <c r="E19" s="24" t="n">
        <f aca="false">E11*E18</f>
        <v>16.04158128</v>
      </c>
      <c r="G19" s="24" t="n">
        <f aca="false">G11*G18</f>
        <v>59.386756</v>
      </c>
      <c r="I19" s="24" t="n">
        <f aca="false">I11*I18</f>
        <v>100</v>
      </c>
    </row>
    <row r="20" customFormat="false" ht="15" hidden="false" customHeight="false" outlineLevel="0" collapsed="false">
      <c r="B20" s="26" t="s">
        <v>216</v>
      </c>
      <c r="E20" s="24" t="n">
        <f aca="false">E11*'Control multipliers'!$B$19</f>
        <v>5.4</v>
      </c>
      <c r="G20" s="24" t="n">
        <f aca="false">G11*'Control multipliers'!$B$19</f>
        <v>14.3</v>
      </c>
      <c r="I20" s="24" t="n">
        <f aca="false">I11*'Control multipliers'!$B$19</f>
        <v>20</v>
      </c>
    </row>
    <row r="21" customFormat="false" ht="15" hidden="false" customHeight="false" outlineLevel="0" collapsed="false">
      <c r="B21" s="18" t="s">
        <v>217</v>
      </c>
      <c r="E21" s="31" t="n">
        <f aca="false">MAX(E19,E20)</f>
        <v>16.04158128</v>
      </c>
      <c r="G21" s="31" t="n">
        <f aca="false">MAX(G19,G20)</f>
        <v>59.386756</v>
      </c>
      <c r="I21" s="31" t="n">
        <f aca="false">MAX(I19,I20)</f>
        <v>100</v>
      </c>
    </row>
    <row r="22" customFormat="false" ht="15" hidden="false" customHeight="false" outlineLevel="0" collapsed="false">
      <c r="B22" s="18" t="s">
        <v>159</v>
      </c>
      <c r="E22" s="32" t="str">
        <f aca="false">INDEX('Control multipliers'!$B$24:$B$27,MATCH(E21,'Control multipliers'!$A$24:$A$27,1))</f>
        <v>Low</v>
      </c>
      <c r="G22" s="32" t="str">
        <f aca="false">INDEX('Control multipliers'!$B$24:$B$27,MATCH(G21,'Control multipliers'!$A$24:$A$27,1))</f>
        <v>High</v>
      </c>
      <c r="I22" s="32" t="str">
        <f aca="false">INDEX('Control multipliers'!$B$24:$B$27,MATCH(I21,'Control multipliers'!$A$24:$A$27,1))</f>
        <v>Prohibited pending exception</v>
      </c>
    </row>
    <row r="24" customFormat="false" ht="15" hidden="false" customHeight="false" outlineLevel="0" collapsed="false">
      <c r="A24" s="10" t="s">
        <v>218</v>
      </c>
    </row>
    <row r="25" customFormat="false" ht="45.75" hidden="false" customHeight="true" outlineLevel="0" collapsed="false">
      <c r="A25" s="10" t="s">
        <v>219</v>
      </c>
      <c r="B25" s="19" t="s">
        <v>220</v>
      </c>
      <c r="C25" s="19"/>
      <c r="D25" s="19"/>
      <c r="E25" s="19"/>
      <c r="F25" s="19"/>
      <c r="G25" s="19"/>
      <c r="H25" s="19"/>
      <c r="I25" s="19"/>
      <c r="J25" s="19"/>
    </row>
    <row r="26" customFormat="false" ht="45.75" hidden="false" customHeight="true" outlineLevel="0" collapsed="false">
      <c r="A26" s="10" t="s">
        <v>221</v>
      </c>
      <c r="B26" s="19" t="s">
        <v>222</v>
      </c>
      <c r="C26" s="19"/>
      <c r="D26" s="19"/>
      <c r="E26" s="19"/>
      <c r="F26" s="19"/>
      <c r="G26" s="19"/>
      <c r="H26" s="19"/>
      <c r="I26" s="19"/>
      <c r="J26" s="19"/>
    </row>
    <row r="27" customFormat="false" ht="45.75" hidden="false" customHeight="true" outlineLevel="0" collapsed="false">
      <c r="A27" s="10" t="s">
        <v>223</v>
      </c>
      <c r="B27" s="19" t="s">
        <v>224</v>
      </c>
      <c r="C27" s="19"/>
      <c r="D27" s="19"/>
      <c r="E27" s="19"/>
      <c r="F27" s="19"/>
      <c r="G27" s="19"/>
      <c r="H27" s="19"/>
      <c r="I27" s="19"/>
      <c r="J27" s="19"/>
    </row>
    <row r="29" customFormat="false" ht="31.5" hidden="false" customHeight="true" outlineLevel="0" collapsed="false">
      <c r="A29" s="33" t="s">
        <v>225</v>
      </c>
      <c r="B29" s="33"/>
      <c r="C29" s="33"/>
      <c r="D29" s="33"/>
      <c r="E29" s="33"/>
      <c r="F29" s="33"/>
      <c r="G29" s="33"/>
      <c r="H29" s="33"/>
      <c r="I29" s="33"/>
      <c r="J29" s="33"/>
    </row>
  </sheetData>
  <mergeCells count="4">
    <mergeCell ref="B25:J25"/>
    <mergeCell ref="B26:J26"/>
    <mergeCell ref="B27:J27"/>
    <mergeCell ref="A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56"/>
  </cols>
  <sheetData>
    <row r="1" customFormat="false" ht="15" hidden="false" customHeight="false" outlineLevel="0" collapsed="false">
      <c r="A1" s="5" t="s">
        <v>226</v>
      </c>
    </row>
    <row r="2" customFormat="false" ht="15" hidden="false" customHeight="false" outlineLevel="0" collapsed="false">
      <c r="A2" s="2" t="s">
        <v>227</v>
      </c>
    </row>
    <row r="4" customFormat="false" ht="15" hidden="false" customHeight="false" outlineLevel="0" collapsed="false">
      <c r="A4" s="10" t="s">
        <v>228</v>
      </c>
      <c r="C4" s="34" t="s">
        <v>229</v>
      </c>
    </row>
    <row r="5" customFormat="false" ht="15" hidden="false" customHeight="false" outlineLevel="0" collapsed="false">
      <c r="A5" s="10" t="s">
        <v>230</v>
      </c>
      <c r="C5" s="35" t="str">
        <f aca="false">'Change log'!A5</f>
        <v>v0.1</v>
      </c>
      <c r="D5" s="8" t="s">
        <v>231</v>
      </c>
    </row>
    <row r="7" customFormat="false" ht="15" hidden="false" customHeight="false" outlineLevel="0" collapsed="false">
      <c r="A7" s="6" t="s">
        <v>25</v>
      </c>
      <c r="B7" s="6" t="s">
        <v>77</v>
      </c>
      <c r="C7" s="6" t="s">
        <v>78</v>
      </c>
      <c r="D7" s="6" t="s">
        <v>232</v>
      </c>
      <c r="E7" s="6" t="s">
        <v>233</v>
      </c>
      <c r="F7" s="6" t="s">
        <v>234</v>
      </c>
    </row>
    <row r="8" customFormat="false" ht="15" hidden="false" customHeight="false" outlineLevel="0" collapsed="false">
      <c r="A8" s="36" t="str">
        <f aca="false">'Factors and weights'!A5</f>
        <v>F1</v>
      </c>
      <c r="B8" s="36" t="str">
        <f aca="false">'Factors and weights'!B5</f>
        <v>Jurisdiction and geographic footprint</v>
      </c>
      <c r="C8" s="36" t="n">
        <f aca="false">'Factors and weights'!C5</f>
        <v>20</v>
      </c>
      <c r="D8" s="17" t="n">
        <v>0</v>
      </c>
      <c r="E8" s="24" t="n">
        <f aca="false">D8/10*C8</f>
        <v>0</v>
      </c>
      <c r="F8" s="37"/>
    </row>
    <row r="9" customFormat="false" ht="15" hidden="false" customHeight="false" outlineLevel="0" collapsed="false">
      <c r="A9" s="36" t="str">
        <f aca="false">'Factors and weights'!A6</f>
        <v>F2</v>
      </c>
      <c r="B9" s="36" t="str">
        <f aca="false">'Factors and weights'!B6</f>
        <v>Quality of supervision and regulatory standing</v>
      </c>
      <c r="C9" s="36" t="n">
        <f aca="false">'Factors and weights'!C6</f>
        <v>15</v>
      </c>
      <c r="D9" s="17" t="n">
        <v>0</v>
      </c>
      <c r="E9" s="24" t="n">
        <f aca="false">D9/10*C9</f>
        <v>0</v>
      </c>
      <c r="F9" s="37"/>
    </row>
    <row r="10" customFormat="false" ht="15" hidden="false" customHeight="false" outlineLevel="0" collapsed="false">
      <c r="A10" s="36" t="str">
        <f aca="false">'Factors and weights'!A7</f>
        <v>F3</v>
      </c>
      <c r="B10" s="36" t="str">
        <f aca="false">'Factors and weights'!B7</f>
        <v>Ownership and control transparency</v>
      </c>
      <c r="C10" s="36" t="n">
        <f aca="false">'Factors and weights'!C7</f>
        <v>20</v>
      </c>
      <c r="D10" s="17" t="n">
        <v>0</v>
      </c>
      <c r="E10" s="24" t="n">
        <f aca="false">D10/10*C10</f>
        <v>0</v>
      </c>
      <c r="F10" s="37"/>
    </row>
    <row r="11" customFormat="false" ht="15" hidden="false" customHeight="false" outlineLevel="0" collapsed="false">
      <c r="A11" s="36" t="str">
        <f aca="false">'Factors and weights'!A8</f>
        <v>F4</v>
      </c>
      <c r="B11" s="36" t="str">
        <f aca="false">'Factors and weights'!B8</f>
        <v>Physical presence and shell bank proximity</v>
      </c>
      <c r="C11" s="36" t="n">
        <f aca="false">'Factors and weights'!C8</f>
        <v>10</v>
      </c>
      <c r="D11" s="17" t="n">
        <v>0</v>
      </c>
      <c r="E11" s="24" t="n">
        <f aca="false">D11/10*C11</f>
        <v>0</v>
      </c>
      <c r="F11" s="37"/>
    </row>
    <row r="12" customFormat="false" ht="15" hidden="false" customHeight="false" outlineLevel="0" collapsed="false">
      <c r="A12" s="36" t="str">
        <f aca="false">'Factors and weights'!A9</f>
        <v>F5</v>
      </c>
      <c r="B12" s="36" t="str">
        <f aca="false">'Factors and weights'!B9</f>
        <v>Products, services and delivery channels</v>
      </c>
      <c r="C12" s="36" t="n">
        <f aca="false">'Factors and weights'!C9</f>
        <v>25</v>
      </c>
      <c r="D12" s="17" t="n">
        <v>0</v>
      </c>
      <c r="E12" s="24" t="n">
        <f aca="false">D12/10*C12</f>
        <v>0</v>
      </c>
      <c r="F12" s="37"/>
    </row>
    <row r="13" customFormat="false" ht="15" hidden="false" customHeight="false" outlineLevel="0" collapsed="false">
      <c r="A13" s="36" t="str">
        <f aca="false">'Factors and weights'!A10</f>
        <v>F6</v>
      </c>
      <c r="B13" s="36" t="str">
        <f aca="false">'Factors and weights'!B10</f>
        <v>Customer base and PEP exposure</v>
      </c>
      <c r="C13" s="36" t="n">
        <f aca="false">'Factors and weights'!C10</f>
        <v>10</v>
      </c>
      <c r="D13" s="17" t="n">
        <v>0</v>
      </c>
      <c r="E13" s="24" t="n">
        <f aca="false">D13/10*C13</f>
        <v>0</v>
      </c>
      <c r="F13" s="37"/>
    </row>
    <row r="14" customFormat="false" ht="15" hidden="false" customHeight="false" outlineLevel="0" collapsed="false">
      <c r="B14" s="18" t="s">
        <v>207</v>
      </c>
      <c r="E14" s="25" t="n">
        <f aca="false">SUM(E8:E13)</f>
        <v>0</v>
      </c>
    </row>
    <row r="16" customFormat="false" ht="15" hidden="false" customHeight="false" outlineLevel="0" collapsed="false">
      <c r="A16" s="6" t="s">
        <v>25</v>
      </c>
      <c r="B16" s="6" t="s">
        <v>142</v>
      </c>
      <c r="C16" s="6"/>
      <c r="D16" s="6" t="s">
        <v>130</v>
      </c>
      <c r="E16" s="6" t="s">
        <v>131</v>
      </c>
      <c r="F16" s="6" t="s">
        <v>235</v>
      </c>
    </row>
    <row r="17" customFormat="false" ht="15" hidden="false" customHeight="false" outlineLevel="0" collapsed="false">
      <c r="A17" s="36" t="str">
        <f aca="false">'Control multipliers'!A13</f>
        <v>C1</v>
      </c>
      <c r="B17" s="36" t="str">
        <f aca="false">'Control multipliers'!B13</f>
        <v>AML, CTF and sanctions programme with independent testing</v>
      </c>
      <c r="C17" s="27"/>
      <c r="D17" s="9" t="s">
        <v>139</v>
      </c>
      <c r="E17" s="29" t="n">
        <f aca="false">INDEX('Control multipliers'!$B$5:$B$8,MATCH(D17,'Control multipliers'!$A$5:$A$8,0))</f>
        <v>1</v>
      </c>
      <c r="F17" s="27"/>
    </row>
    <row r="18" customFormat="false" ht="15" hidden="false" customHeight="false" outlineLevel="0" collapsed="false">
      <c r="A18" s="36" t="str">
        <f aca="false">'Control multipliers'!A14</f>
        <v>C2</v>
      </c>
      <c r="B18" s="36" t="str">
        <f aca="false">'Control multipliers'!B14</f>
        <v>Customer due diligence and beneficial ownership</v>
      </c>
      <c r="C18" s="27"/>
      <c r="D18" s="9" t="s">
        <v>139</v>
      </c>
      <c r="E18" s="29" t="n">
        <f aca="false">INDEX('Control multipliers'!$B$5:$B$8,MATCH(D18,'Control multipliers'!$A$5:$A$8,0))</f>
        <v>1</v>
      </c>
      <c r="F18" s="27"/>
    </row>
    <row r="19" customFormat="false" ht="15" hidden="false" customHeight="false" outlineLevel="0" collapsed="false">
      <c r="A19" s="36" t="str">
        <f aca="false">'Control multipliers'!A15</f>
        <v>C3</v>
      </c>
      <c r="B19" s="36" t="str">
        <f aca="false">'Control multipliers'!B15</f>
        <v>Sanctions and PEP screening</v>
      </c>
      <c r="C19" s="27"/>
      <c r="D19" s="9" t="s">
        <v>139</v>
      </c>
      <c r="E19" s="29" t="n">
        <f aca="false">INDEX('Control multipliers'!$B$5:$B$8,MATCH(D19,'Control multipliers'!$A$5:$A$8,0))</f>
        <v>1</v>
      </c>
      <c r="F19" s="27"/>
    </row>
    <row r="20" customFormat="false" ht="15" hidden="false" customHeight="false" outlineLevel="0" collapsed="false">
      <c r="A20" s="36" t="str">
        <f aca="false">'Control multipliers'!A16</f>
        <v>C4</v>
      </c>
      <c r="B20" s="36" t="str">
        <f aca="false">'Control multipliers'!B16</f>
        <v>Correspondent and downstream relationship controls</v>
      </c>
      <c r="C20" s="27"/>
      <c r="D20" s="9" t="s">
        <v>139</v>
      </c>
      <c r="E20" s="29" t="n">
        <f aca="false">INDEX('Control multipliers'!$B$5:$B$8,MATCH(D20,'Control multipliers'!$A$5:$A$8,0))</f>
        <v>1</v>
      </c>
      <c r="F20" s="27"/>
    </row>
    <row r="21" customFormat="false" ht="15" hidden="false" customHeight="false" outlineLevel="0" collapsed="false">
      <c r="B21" s="18" t="s">
        <v>213</v>
      </c>
      <c r="E21" s="30" t="n">
        <f aca="false">E17*E18*E19*E20</f>
        <v>1</v>
      </c>
    </row>
    <row r="23" customFormat="false" ht="15" hidden="false" customHeight="false" outlineLevel="0" collapsed="false">
      <c r="B23" s="26" t="s">
        <v>215</v>
      </c>
      <c r="E23" s="24" t="n">
        <f aca="false">E14*E21</f>
        <v>0</v>
      </c>
    </row>
    <row r="24" customFormat="false" ht="15" hidden="false" customHeight="false" outlineLevel="0" collapsed="false">
      <c r="B24" s="26" t="s">
        <v>216</v>
      </c>
      <c r="E24" s="24" t="n">
        <f aca="false">E14*'Control multipliers'!$B$19</f>
        <v>0</v>
      </c>
    </row>
    <row r="25" customFormat="false" ht="15" hidden="false" customHeight="false" outlineLevel="0" collapsed="false">
      <c r="B25" s="18" t="s">
        <v>217</v>
      </c>
      <c r="E25" s="31" t="n">
        <f aca="false">MAX(E23,E24)</f>
        <v>0</v>
      </c>
    </row>
    <row r="26" customFormat="false" ht="15" hidden="false" customHeight="false" outlineLevel="0" collapsed="false">
      <c r="B26" s="18" t="s">
        <v>159</v>
      </c>
      <c r="E26" s="32" t="str">
        <f aca="false">INDEX('Control multipliers'!$B$24:$B$27,MATCH(E25,'Control multipliers'!$A$24:$A$27,1))</f>
        <v>Low</v>
      </c>
    </row>
    <row r="28" customFormat="false" ht="15" hidden="false" customHeight="false" outlineLevel="0" collapsed="false">
      <c r="A28" s="10" t="s">
        <v>236</v>
      </c>
    </row>
    <row r="29" customFormat="false" ht="23.85" hidden="false" customHeight="false" outlineLevel="0" collapsed="false">
      <c r="B29" s="7" t="s">
        <v>237</v>
      </c>
      <c r="D29" s="17" t="s">
        <v>238</v>
      </c>
    </row>
    <row r="30" customFormat="false" ht="23.85" hidden="false" customHeight="false" outlineLevel="0" collapsed="false">
      <c r="B30" s="7" t="s">
        <v>239</v>
      </c>
      <c r="D30" s="17" t="s">
        <v>238</v>
      </c>
    </row>
    <row r="31" customFormat="false" ht="23.85" hidden="false" customHeight="false" outlineLevel="0" collapsed="false">
      <c r="B31" s="7" t="s">
        <v>240</v>
      </c>
      <c r="D31" s="17" t="s">
        <v>238</v>
      </c>
    </row>
    <row r="32" customFormat="false" ht="15" hidden="false" customHeight="false" outlineLevel="0" collapsed="false">
      <c r="B32" s="18" t="s">
        <v>174</v>
      </c>
      <c r="D32" s="32" t="str">
        <f aca="false">IF(COUNTIF(D29:D31,"Yes")&gt;0,"REFUSE - hard exclusion","Proceed on band")</f>
        <v>Proceed on band</v>
      </c>
    </row>
    <row r="34" customFormat="false" ht="15" hidden="false" customHeight="false" outlineLevel="0" collapsed="false">
      <c r="A34" s="8" t="s">
        <v>241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4" min="4" style="0" width="26"/>
    <col collapsed="false" customWidth="true" hidden="false" outlineLevel="0" max="6" min="5" style="0" width="11"/>
    <col collapsed="false" customWidth="true" hidden="false" outlineLevel="0" max="7" min="7" style="0" width="66"/>
  </cols>
  <sheetData>
    <row r="1" customFormat="false" ht="15" hidden="false" customHeight="false" outlineLevel="0" collapsed="false">
      <c r="A1" s="5" t="s">
        <v>242</v>
      </c>
    </row>
    <row r="2" customFormat="false" ht="15" hidden="false" customHeight="false" outlineLevel="0" collapsed="false">
      <c r="A2" s="2" t="s">
        <v>243</v>
      </c>
    </row>
    <row r="4" customFormat="false" ht="15" hidden="false" customHeight="false" outlineLevel="0" collapsed="false">
      <c r="A4" s="6" t="s">
        <v>244</v>
      </c>
      <c r="B4" s="6" t="s">
        <v>245</v>
      </c>
      <c r="C4" s="6" t="s">
        <v>246</v>
      </c>
      <c r="D4" s="6" t="s">
        <v>247</v>
      </c>
      <c r="E4" s="6" t="s">
        <v>248</v>
      </c>
      <c r="F4" s="6" t="s">
        <v>249</v>
      </c>
      <c r="G4" s="6" t="s">
        <v>250</v>
      </c>
    </row>
    <row r="5" customFormat="false" ht="45.75" hidden="false" customHeight="true" outlineLevel="0" collapsed="false">
      <c r="A5" s="7" t="s">
        <v>251</v>
      </c>
      <c r="B5" s="7" t="s">
        <v>252</v>
      </c>
      <c r="C5" s="7" t="s">
        <v>253</v>
      </c>
      <c r="D5" s="7" t="s">
        <v>254</v>
      </c>
      <c r="E5" s="7" t="s">
        <v>255</v>
      </c>
      <c r="F5" s="7" t="s">
        <v>255</v>
      </c>
      <c r="G5" s="7" t="s">
        <v>256</v>
      </c>
    </row>
    <row r="6" customFormat="false" ht="15" hidden="false" customHeight="false" outlineLevel="0" collapsed="false">
      <c r="A6" s="38"/>
      <c r="B6" s="38"/>
      <c r="C6" s="38"/>
      <c r="D6" s="38"/>
      <c r="E6" s="38"/>
      <c r="F6" s="38"/>
      <c r="G6" s="38" t="s">
        <v>257</v>
      </c>
    </row>
    <row r="8" customFormat="false" ht="31.5" hidden="false" customHeight="true" outlineLevel="0" collapsed="false">
      <c r="A8" s="33" t="s">
        <v>258</v>
      </c>
      <c r="B8" s="33"/>
      <c r="C8" s="33"/>
      <c r="D8" s="33"/>
      <c r="E8" s="33"/>
      <c r="F8" s="33"/>
      <c r="G8" s="33"/>
    </row>
  </sheetData>
  <mergeCells count="1">
    <mergeCell ref="A8:G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2026-09-15T17:41:24Z</dcterms:created>
  <dc:creator>openpyxl</dc:creator>
  <dc:description/>
  <dc:language>en-US</dc:language>
  <cp:lastModifiedBy/>
  <dcterms:modified xsi:type="dcterms:W3CDTF">2026-09-15T17:41:24Z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