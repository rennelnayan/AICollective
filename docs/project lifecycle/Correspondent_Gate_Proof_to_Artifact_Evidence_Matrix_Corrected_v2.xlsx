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showInkAnnotation="0" autoCompressPictures="0"/>
  <xr:revisionPtr revIDLastSave="0" documentId="8_{2086993B-E9AF-4700-BBD2-BAC07A4AEA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  <sheet name="Proof Matrix" sheetId="2" r:id="rId2"/>
    <sheet name="Stage 5-6 Strategy" sheetId="3" r:id="rId3"/>
    <sheet name="Token Estimate" sheetId="4" r:id="rId4"/>
    <sheet name="Source Register" sheetId="5" r:id="rId5"/>
    <sheet name="Intake Evidence" sheetId="6" r:id="rId6"/>
    <sheet name="Scoring Evidence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<sst xmlns="http://schemas.openxmlformats.org/spreadsheetml/2006/main" count="648" uniqueCount="528">
  <si>
    <t>CORRESPONDENT GATE - UPDATED PROOF-TO-ARTIFACT EVIDENCE MATRIX</t>
  </si>
  <si>
    <t>MVP proof is separated from designed Stage 5-6 recommendations. The team has not deeply analyzed or implemented the proposed Power Platform production architecture.</t>
  </si>
  <si>
    <t>Verified / reported metric</t>
  </si>
  <si>
    <t>Value</t>
  </si>
  <si>
    <t>Evidence class</t>
  </si>
  <si>
    <t>Meaning</t>
  </si>
  <si>
    <t>Can claim</t>
  </si>
  <si>
    <t>Cannot claim</t>
  </si>
  <si>
    <t>Primary source</t>
  </si>
  <si>
    <t>Expanded requirements</t>
  </si>
  <si>
    <t>EXECUTED</t>
  </si>
  <si>
    <t>Workflow or command ran with observed output</t>
  </si>
  <si>
    <t>Demonstrated behavior</t>
  </si>
  <si>
    <t>Production deployment</t>
  </si>
  <si>
    <t>Test evaluations</t>
  </si>
  <si>
    <t>Validator checks</t>
  </si>
  <si>
    <t>VERIFIED ARTIFACT</t>
  </si>
  <si>
    <t>Artifact was inspected</t>
  </si>
  <si>
    <t>Artifact content exists</t>
  </si>
  <si>
    <t>Every described control executed</t>
  </si>
  <si>
    <t>Registered files</t>
  </si>
  <si>
    <t>Canonical source records</t>
  </si>
  <si>
    <t>REPORTED EVIDENCE</t>
  </si>
  <si>
    <t>Earlier project record reports the result</t>
  </si>
  <si>
    <t>Reported project evidence</t>
  </si>
  <si>
    <t>Current retest without logs</t>
  </si>
  <si>
    <t>Requirements/summaries</t>
  </si>
  <si>
    <t>Final integrated test cases</t>
  </si>
  <si>
    <t>USER-DECLARED</t>
  </si>
  <si>
    <t>Team supplied process context</t>
  </si>
  <si>
    <t>Team process record</t>
  </si>
  <si>
    <t>Independent telemetry</t>
  </si>
  <si>
    <t>Team statements</t>
  </si>
  <si>
    <t>Official residual score</t>
  </si>
  <si>
    <t>ESTIMATE</t>
  </si>
  <si>
    <t>Engineering range</t>
  </si>
  <si>
    <t>Planning estimate</t>
  </si>
  <si>
    <t>Billing or exact tokens</t>
  </si>
  <si>
    <t>Token analysis</t>
  </si>
  <si>
    <t>Official band</t>
  </si>
  <si>
    <t>High</t>
  </si>
  <si>
    <t>DESIGNED / NOT TEAM-VALIDATED</t>
  </si>
  <si>
    <t>Target-state document drafted</t>
  </si>
  <si>
    <t>Strategy exists for evaluation</t>
  </si>
  <si>
    <t>Expertise, deployment, testing, SLOs, operations</t>
  </si>
  <si>
    <t>Stage 5-6 artifacts</t>
  </si>
  <si>
    <t>Stage 5 readiness</t>
  </si>
  <si>
    <t>DESIGNED ONLY</t>
  </si>
  <si>
    <t>OPEN</t>
  </si>
  <si>
    <t>Known incomplete area</t>
  </si>
  <si>
    <t>Gap is disclosed</t>
  </si>
  <si>
    <t>Completion</t>
  </si>
  <si>
    <t>Requirements / Stage 5-6</t>
  </si>
  <si>
    <t>Stage 6 operations</t>
  </si>
  <si>
    <t>NEW CORRECTED EVIDENCE SECTIONS</t>
  </si>
  <si>
    <t>Section</t>
  </si>
  <si>
    <t>Scope</t>
  </si>
  <si>
    <t>Rows</t>
  </si>
  <si>
    <t>Strongest executed proof</t>
  </si>
  <si>
    <t>Evidence gap</t>
  </si>
  <si>
    <t>Panel use</t>
  </si>
  <si>
    <t>Status</t>
  </si>
  <si>
    <t>Sheet</t>
  </si>
  <si>
    <t>Intake Evidence</t>
  </si>
  <si>
    <t>Copilot Intake Analyzer plus parser/source-register builder, validator, extract-gate1-packet.ps1, Gate 1 review artifacts and handoff</t>
  </si>
  <si>
    <t>7</t>
  </si>
  <si>
    <t>201 canonical fields; 17 checks; fail-closed validation and corrected handoff</t>
  </si>
  <si>
    <t>Actual intake source files/output packages should be retained and shown</t>
  </si>
  <si>
    <t>Explain Agent versus deterministic intake boundary</t>
  </si>
  <si>
    <t>CORRECTED V2</t>
  </si>
  <si>
    <t>Scoring Evidence</t>
  </si>
  <si>
    <t>resolve, admission, mapping, scoring, orchestration, configuration, inputs/outputs and tests</t>
  </si>
  <si>
    <t>13</t>
  </si>
  <si>
    <t>resolve -&gt; READY/AUTHORISED -&gt; 64.00 -&gt; 0.7807 -&gt; 49.97 High -&gt; Gate 3</t>
  </si>
  <si>
    <t>Raw code/config/test logs still needed for strongest proof</t>
  </si>
  <si>
    <t>Show complete Scoring Engine folder and execution chain</t>
  </si>
  <si>
    <t>ID</t>
  </si>
  <si>
    <t>Lifecycle Lens</t>
  </si>
  <si>
    <t>Claim / Control</t>
  </si>
  <si>
    <t>Artifact Evidence</t>
  </si>
  <si>
    <t>Evidence Class</t>
  </si>
  <si>
    <t>Observed / Proposed Result</t>
  </si>
  <si>
    <t>Current Status</t>
  </si>
  <si>
    <t>Gap / Caveat</t>
  </si>
  <si>
    <t>Presentation Language</t>
  </si>
  <si>
    <t>Source</t>
  </si>
  <si>
    <t>P-001</t>
  </si>
  <si>
    <t>DISCOVER</t>
  </si>
  <si>
    <t>Vendor-risk framing changed to correspondent banking</t>
  </si>
  <si>
    <t>Derivation summary</t>
  </si>
  <si>
    <t>Research-backed scope correction</t>
  </si>
  <si>
    <t>COMPLETE</t>
  </si>
  <si>
    <t>Not a formal discovery phase</t>
  </si>
  <si>
    <t>Scope was corrected after source review</t>
  </si>
  <si>
    <t>Executive / lifecycle docs</t>
  </si>
  <si>
    <t>P-002</t>
  </si>
  <si>
    <t>DEFINE</t>
  </si>
  <si>
    <t>Brief expanded into requirements</t>
  </si>
  <si>
    <t>Expanded Requirements</t>
  </si>
  <si>
    <t>45 requirements with status and open items</t>
  </si>
  <si>
    <t>Some policy decisions remain open</t>
  </si>
  <si>
    <t>Requirements were documented retrospectively</t>
  </si>
  <si>
    <t>P-003</t>
  </si>
  <si>
    <t>DESIGN</t>
  </si>
  <si>
    <t>Agent/code/human separation</t>
  </si>
  <si>
    <t>Agent instructions and summaries</t>
  </si>
  <si>
    <t>AI interprets/drafts; code validates/scores; humans decide</t>
  </si>
  <si>
    <t>COMPLETE FOR MVP</t>
  </si>
  <si>
    <t>Production design not implemented</t>
  </si>
  <si>
    <t>MVP control architecture was designed</t>
  </si>
  <si>
    <t>Executive summaries</t>
  </si>
  <si>
    <t>P-004</t>
  </si>
  <si>
    <t>BUILD</t>
  </si>
  <si>
    <t>Validator and source register</t>
  </si>
  <si>
    <t>Validator evidence</t>
  </si>
  <si>
    <t>17 checks; 201 canonical records reported</t>
  </si>
  <si>
    <t>PASS / REPORTED</t>
  </si>
  <si>
    <t>Keep raw outputs available</t>
  </si>
  <si>
    <t>Validator passed in recorded execution</t>
  </si>
  <si>
    <t>Audit trail</t>
  </si>
  <si>
    <t>P-005</t>
  </si>
  <si>
    <t>TEST</t>
  </si>
  <si>
    <t>Incomplete evidence fails closed</t>
  </si>
  <si>
    <t>Final evaluation TC-01/06</t>
  </si>
  <si>
    <t>RETURN_FOR_CORRECTION / NOT_AUTHORISED</t>
  </si>
  <si>
    <t>PASS</t>
  </si>
  <si>
    <t>Synthetic case</t>
  </si>
  <si>
    <t>Negative paths were demonstrated</t>
  </si>
  <si>
    <t>Batch 2</t>
  </si>
  <si>
    <t>P-006</t>
  </si>
  <si>
    <t>Integrated positive path</t>
  </si>
  <si>
    <t>Batch 2 final evaluation</t>
  </si>
  <si>
    <t>READY, AUTHORISED, 49.97 High, Gate 3 admitted</t>
  </si>
  <si>
    <t>Gate 3 decision blank</t>
  </si>
  <si>
    <t>Integrated High path passed</t>
  </si>
  <si>
    <t>P-007</t>
  </si>
  <si>
    <t>Broader deterministic suite</t>
  </si>
  <si>
    <t>Requirements/internal summary</t>
  </si>
  <si>
    <t>65 tests and 500 byte-identical runs reported</t>
  </si>
  <si>
    <t>REPORTED</t>
  </si>
  <si>
    <t>Not re-executed in final Batch 2</t>
  </si>
  <si>
    <t>Earlier project evidence reports these results</t>
  </si>
  <si>
    <t>Requirements / internal summary</t>
  </si>
  <si>
    <t>P-008</t>
  </si>
  <si>
    <t>REVIEW</t>
  </si>
  <si>
    <t>Human Gates 1-3 preserve authority</t>
  </si>
  <si>
    <t>Decision artifacts and Gate 3 packet</t>
  </si>
  <si>
    <t>EXECUTED / INSPECTED</t>
  </si>
  <si>
    <t>Gate 3 decision remained blank</t>
  </si>
  <si>
    <t>Synthetic decisions</t>
  </si>
  <si>
    <t>Human authority boundary demonstrated</t>
  </si>
  <si>
    <t>P-009</t>
  </si>
  <si>
    <t>IMPROVE</t>
  </si>
  <si>
    <t>Contract defects corrected and retested</t>
  </si>
  <si>
    <t>Defect trail</t>
  </si>
  <si>
    <t>PowerShell/Node array and Gate 1 JSON fixes passed</t>
  </si>
  <si>
    <t>PASS AFTER FIX</t>
  </si>
  <si>
    <t>Shared schemas recommended</t>
  </si>
  <si>
    <t>Failure, correction and recovery are evidenced</t>
  </si>
  <si>
    <t>P-010</t>
  </si>
  <si>
    <t>MAINTAIN</t>
  </si>
  <si>
    <t>Operational token workflow estimated</t>
  </si>
  <si>
    <t>145k-250k operational workflow</t>
  </si>
  <si>
    <t>ESTIMATED</t>
  </si>
  <si>
    <t>Not telemetry</t>
  </si>
  <si>
    <t>Use estimated model tokens processed</t>
  </si>
  <si>
    <t>Token Analysis</t>
  </si>
  <si>
    <t>P-011</t>
  </si>
  <si>
    <t>DEPLOYMENT 5</t>
  </si>
  <si>
    <t>Power Apps/Dataverse/Copilot Studio target architecture</t>
  </si>
  <si>
    <t>Production Readiness Strategy</t>
  </si>
  <si>
    <t>Theoretical production architecture and workflow</t>
  </si>
  <si>
    <t>DRAFT STRATEGY</t>
  </si>
  <si>
    <t>Team has general Power Apps idea only; no deep analysis or expertise claim</t>
  </si>
  <si>
    <t>A target-state strategy was drafted for evaluation</t>
  </si>
  <si>
    <t>Stage 5</t>
  </si>
  <si>
    <t>P-012</t>
  </si>
  <si>
    <t>Token optimization target</t>
  </si>
  <si>
    <t>Deterministic parsing, compact contracts, canonical facts, templates, routing, budgets</t>
  </si>
  <si>
    <t>PROPOSED</t>
  </si>
  <si>
    <t>40-65% target is unproven until pilot telemetry</t>
  </si>
  <si>
    <t>Optimization recommendations require pilot proof</t>
  </si>
  <si>
    <t>P-013</t>
  </si>
  <si>
    <t>Go-live path</t>
  </si>
  <si>
    <t>Governance -&gt; foundation -&gt; build -&gt; shadow -&gt; limited -&gt; GA -&gt; scale</t>
  </si>
  <si>
    <t>No environment, licensing, pipeline, pilot or deployment exists</t>
  </si>
  <si>
    <t>A phased go-live path is proposed</t>
  </si>
  <si>
    <t>P-014</t>
  </si>
  <si>
    <t>OPERATIONS 6</t>
  </si>
  <si>
    <t>Monitoring and observability</t>
  </si>
  <si>
    <t>Operations Plan</t>
  </si>
  <si>
    <t>Copilot Studio, Power Platform, App Insights, Azure Monitor, Power BI model</t>
  </si>
  <si>
    <t>No production telemetry or dashboards</t>
  </si>
  <si>
    <t>An observability model is proposed</t>
  </si>
  <si>
    <t>Stage 6</t>
  </si>
  <si>
    <t>P-015</t>
  </si>
  <si>
    <t>SLOs, alerts and incidents</t>
  </si>
  <si>
    <t>Pilot SLO candidates, severity matrix, runbooks and incident flow</t>
  </si>
  <si>
    <t>No SLO approved or measured; no runbook exercised</t>
  </si>
  <si>
    <t>Candidate controls, not operations evidence</t>
  </si>
  <si>
    <t>P-016</t>
  </si>
  <si>
    <t>Continuous improvement</t>
  </si>
  <si>
    <t>Daily/weekly, biweekly, monthly, quarterly and annual review cadence</t>
  </si>
  <si>
    <t>Team has not adopted this cadence</t>
  </si>
  <si>
    <t>A future improvement cadence is proposed</t>
  </si>
  <si>
    <t>P-017</t>
  </si>
  <si>
    <t>HARNESS</t>
  </si>
  <si>
    <t>Copilot Agent (Flynn) role</t>
  </si>
  <si>
    <t>Solutions Architect role player used by a QA team member in Consulting Project; contributed to hackathon</t>
  </si>
  <si>
    <t>RECORDED</t>
  </si>
  <si>
    <t>No platform usage export</t>
  </si>
  <si>
    <t>Describe as team-reported role</t>
  </si>
  <si>
    <t>User clarification</t>
  </si>
  <si>
    <t>P-018</t>
  </si>
  <si>
    <t>Claude Agent role</t>
  </si>
  <si>
    <t>Created specifically to help design/build hackathon; reciprocal review with Flynn</t>
  </si>
  <si>
    <t>No Claude transcript/telemetry registered</t>
  </si>
  <si>
    <t>P-019</t>
  </si>
  <si>
    <t>Total project token use</t>
  </si>
  <si>
    <t>Updated estimate</t>
  </si>
  <si>
    <t>335k-700k; planning 520k; sensitivity 250k-950k</t>
  </si>
  <si>
    <t>Covers both Agents, all prompts and known artifacts including current session; not billing telemetry</t>
  </si>
  <si>
    <t>Use planning estimate with range and caveat</t>
  </si>
  <si>
    <t>Derived from token analysis plus artifact sessions</t>
  </si>
  <si>
    <t>P-020</t>
  </si>
  <si>
    <t>GAP</t>
  </si>
  <si>
    <t>Production readiness and scale</t>
  </si>
  <si>
    <t>Stage 5-6 plus requirements</t>
  </si>
  <si>
    <t>Not implemented, tested or operated</t>
  </si>
  <si>
    <t>No expertise or production claim</t>
  </si>
  <si>
    <t>Stage 5-6 close the documentation gap, not the implementation gap</t>
  </si>
  <si>
    <t>All core artifacts</t>
  </si>
  <si>
    <t>Area</t>
  </si>
  <si>
    <t>Stage 5 Proposed Strategy</t>
  </si>
  <si>
    <t>Stage 6 Proposed Operations</t>
  </si>
  <si>
    <t>Evidence Status</t>
  </si>
  <si>
    <t>Team Position</t>
  </si>
  <si>
    <t>Experience</t>
  </si>
  <si>
    <t>Power Apps model-driven app</t>
  </si>
  <si>
    <t>Operations cockpit and support views</t>
  </si>
  <si>
    <t>General idea only</t>
  </si>
  <si>
    <t>Data</t>
  </si>
  <si>
    <t>Dataverse plus controlled document store</t>
  </si>
  <si>
    <t>Capacity, audit, retention and data-quality monitoring</t>
  </si>
  <si>
    <t>No implementation</t>
  </si>
  <si>
    <t>Agents</t>
  </si>
  <si>
    <t>Copilot Studio Intake and Memo Agents</t>
  </si>
  <si>
    <t>Monitor Agent health, grounding, guardrails and cost</t>
  </si>
  <si>
    <t>Requires redesign/evals</t>
  </si>
  <si>
    <t>Workflow</t>
  </si>
  <si>
    <t>Power Automate; Azure orchestration where needed</t>
  </si>
  <si>
    <t>Flow health, retries, backlog, dead letters and aging</t>
  </si>
  <si>
    <t>No flows built</t>
  </si>
  <si>
    <t>Deterministic services</t>
  </si>
  <si>
    <t>Azure-hosted Node.js validator/scoring APIs</t>
  </si>
  <si>
    <t>Application Insights, version drift and invariant checks</t>
  </si>
  <si>
    <t>Conceptual migration</t>
  </si>
  <si>
    <t>Reporting</t>
  </si>
  <si>
    <t>Power BI dashboards</t>
  </si>
  <si>
    <t>Business, risk, Agent, operations and cost dashboards</t>
  </si>
  <si>
    <t>No dashboards</t>
  </si>
  <si>
    <t>Deployment</t>
  </si>
  <si>
    <t>Managed solutions, pipelines, shadow pilot, limited rollout</t>
  </si>
  <si>
    <t>Release health, rollback, incidents and continuous improvement</t>
  </si>
  <si>
    <t>No go-live activity</t>
  </si>
  <si>
    <t>Work category</t>
  </si>
  <si>
    <t>Low</t>
  </si>
  <si>
    <t>Planning note</t>
  </si>
  <si>
    <t>Telemetry caveat</t>
  </si>
  <si>
    <t>Original two-Agent solution workflow</t>
  </si>
  <si>
    <t>Existing operational analysis</t>
  </si>
  <si>
    <t>Requirements/research/architecture/prompts/design</t>
  </si>
  <si>
    <t>Both Agents; exact Claude and Copilot telemetry unavailable</t>
  </si>
  <si>
    <t>QA/defect correction/retest/evaluation</t>
  </si>
  <si>
    <t>Multiple long-context iterations</t>
  </si>
  <si>
    <t>All artifact creation and revision sessions</t>
  </si>
  <si>
    <t>Includes Stage 5, Stage 6, recreated artifacts and current session</t>
  </si>
  <si>
    <t>Estimated total project</t>
  </si>
  <si>
    <t>Model tokens processed estimate</t>
  </si>
  <si>
    <t>Sensitivity envelope</t>
  </si>
  <si>
    <t>Hidden prompts, retrieval, retries, tokenizer differences, compaction/reuse</t>
  </si>
  <si>
    <t>Artifact</t>
  </si>
  <si>
    <t>Role</t>
  </si>
  <si>
    <t>Evidence qualification</t>
  </si>
  <si>
    <t>S1</t>
  </si>
  <si>
    <t>Consolidated Executive Summary - Complete</t>
  </si>
  <si>
    <t>Executive narrative and claims</t>
  </si>
  <si>
    <t>Updated with designed Stage 5-6 and new token estimate</t>
  </si>
  <si>
    <t>S2</t>
  </si>
  <si>
    <t>Project Lifecycle Evidence Record - Complete</t>
  </si>
  <si>
    <t>Detailed retrospective lifecycle evidence</t>
  </si>
  <si>
    <t>No formal SDLC claim</t>
  </si>
  <si>
    <t>S3</t>
  </si>
  <si>
    <t>Production Readiness Strategy - Deployment Stage 5</t>
  </si>
  <si>
    <t>Target architecture, workflow, token optimization and go-live</t>
  </si>
  <si>
    <t>Designed only; not deeply analyzed or implemented</t>
  </si>
  <si>
    <t>S4</t>
  </si>
  <si>
    <t>Operations, Monitoring and Continuous Improvement Plan</t>
  </si>
  <si>
    <t>Target operating model and observability</t>
  </si>
  <si>
    <t>Designed only; no production telemetry or adopted SLO</t>
  </si>
  <si>
    <t>S5</t>
  </si>
  <si>
    <t>Test Evaluation Notes and Audit Trail</t>
  </si>
  <si>
    <t>Earlier validator and blocked-state evidence</t>
  </si>
  <si>
    <t>Executed / artifact evidence</t>
  </si>
  <si>
    <t>S6</t>
  </si>
  <si>
    <t>Batch 2 final evaluation records</t>
  </si>
  <si>
    <t>Correction, rerun, score and Gate 3 admission</t>
  </si>
  <si>
    <t>Latest integrated positive-path evidence</t>
  </si>
  <si>
    <t>S7</t>
  </si>
  <si>
    <t>Operational workflow token ranges</t>
  </si>
  <si>
    <t>Estimate, not billing telemetry</t>
  </si>
  <si>
    <t>S8</t>
  </si>
  <si>
    <t>Team clarifications</t>
  </si>
  <si>
    <t>Agent roles, informal work style, Power Apps general direction</t>
  </si>
  <si>
    <t>User-declared process context</t>
  </si>
  <si>
    <t>ADDITIONAL EXECUTABLE-HARNESS EVIDENCE</t>
  </si>
  <si>
    <t>X1</t>
  </si>
  <si>
    <t>Copilot Intake Analyzer instructions and semantic outputs</t>
  </si>
  <si>
    <t>Provisional semantic analysis and Draft Gate 1 evidence</t>
  </si>
  <si>
    <t>Agent artifact; no scoring authority</t>
  </si>
  <si>
    <t>X2</t>
  </si>
  <si>
    <t>Workbook parser / source-register builder and generated register</t>
  </si>
  <si>
    <t>Canonical intake evidence</t>
  </si>
  <si>
    <t>201 records reported; register actual files when available</t>
  </si>
  <si>
    <t>X3</t>
  </si>
  <si>
    <t>Validator source and validation report</t>
  </si>
  <si>
    <t>17 contract checks and final package PASS</t>
  </si>
  <si>
    <t>Intake-side deterministic evidence</t>
  </si>
  <si>
    <t>X4</t>
  </si>
  <si>
    <t>extract-gate1-packet.ps1 and execution log</t>
  </si>
  <si>
    <t>Intake-to-scoring extraction and normalization</t>
  </si>
  <si>
    <t>File is under Intake Analyzer/Validator folder; defect and fix executed</t>
  </si>
  <si>
    <t>X5</t>
  </si>
  <si>
    <t>resolve.mjs, resolve.test.mjs, and gate1-decision.json</t>
  </si>
  <si>
    <t>Scoring Engine decision-resolution step</t>
  </si>
  <si>
    <t>Corrected ownership: Scoring Engine</t>
  </si>
  <si>
    <t>X6</t>
  </si>
  <si>
    <t>admission.mjs and admission.test.mjs</t>
  </si>
  <si>
    <t>Scoring Engine authorization/refusal</t>
  </si>
  <si>
    <t>READY/AUTHORISED path and blockers</t>
  </si>
  <si>
    <t>X7</t>
  </si>
  <si>
    <t>mapper.mjs, mapper.test.mjs, mapping.rules.v1.1.json</t>
  </si>
  <si>
    <t>Scoring Engine mapping</t>
  </si>
  <si>
    <t>Final F1-F6/C1-C4 trace; synthetic model</t>
  </si>
  <si>
    <t>X8</t>
  </si>
  <si>
    <t>scoring.mjs, scoring.test.mjs, weights.v0.1.json, scoring_output.json</t>
  </si>
  <si>
    <t>Official deterministic calculation</t>
  </si>
  <si>
    <t>64.00 / 0.7807 / 49.97 High</t>
  </si>
  <si>
    <t>X9</t>
  </si>
  <si>
    <t>fullRun.mjs and execution log</t>
  </si>
  <si>
    <t>Scoring Engine orchestration</t>
  </si>
  <si>
    <t>Integrated run; retain raw console/log</t>
  </si>
  <si>
    <t>X10</t>
  </si>
  <si>
    <t>README.md plus retained input/output JSON set</t>
  </si>
  <si>
    <t>Scoring Engine package evidence</t>
  </si>
  <si>
    <t>Folder view supplied; contents not all independently opened</t>
  </si>
  <si>
    <t>INTAKE ANALYSIS AND DETERMINISTIC INTAKE PIPELINE EVIDENCE</t>
  </si>
  <si>
    <t>Boundary correction: the Copilot Intake Analyzer is an Agent. The intake-side deterministic components are the workbook parser/source-register builder, package validator, and extract-gate1-packet.ps1. resolve.mjs belongs to the Scoring Engine and is documented on the Scoring Evidence sheet.</t>
  </si>
  <si>
    <t>Component / Artifact</t>
  </si>
  <si>
    <t>Technology / Type</t>
  </si>
  <si>
    <t>Purpose</t>
  </si>
  <si>
    <t>Primary Evidence</t>
  </si>
  <si>
    <t>Observed / Reported Result</t>
  </si>
  <si>
    <t>Source Record</t>
  </si>
  <si>
    <t>I-001</t>
  </si>
  <si>
    <t>Copilot Intake Analyzer</t>
  </si>
  <si>
    <t>Copilot Agent</t>
  </si>
  <si>
    <t>Interpret controlled intake documents; propose material facts, evidence states, contradictions, indicators, exceptions, hard-exclusion candidates, and Draft Gate 1 material.</t>
  </si>
  <si>
    <t>Agent instructions; semantic Part 1/Part 2 outputs; Draft Gate 1 package described in registered summaries and evaluation notes.</t>
  </si>
  <si>
    <t>VERIFIED ARTIFACT / REPORTED EVIDENCE</t>
  </si>
  <si>
    <t>Produced provisional review material without official scoring or approval.</t>
  </si>
  <si>
    <t>MVP ARTIFACT EVIDENCE</t>
  </si>
  <si>
    <t>Agent package itself should be shown to panel if available; current matrix relies on registered summaries/evaluation records.</t>
  </si>
  <si>
    <t>Executive summaries; lifecycle record; test notes</t>
  </si>
  <si>
    <t>I-002</t>
  </si>
  <si>
    <t>Workbook parser / source-register builder</t>
  </si>
  <si>
    <t>Deterministic parser utility</t>
  </si>
  <si>
    <t>Read original workbooks and create canonical field-level source records with IDs, locations, and normalized values.</t>
  </si>
  <si>
    <t>Validator audit trail and recorded source-register result.</t>
  </si>
  <si>
    <t>EXECUTED / REPORTED EVIDENCE</t>
  </si>
  <si>
    <t>201 canonical source-register records recorded.</t>
  </si>
  <si>
    <t>Actual parser source file and generated register are not separately registered in this workbook.</t>
  </si>
  <si>
    <t>Test Evaluation Notes and Audit Trail v1.0.0</t>
  </si>
  <si>
    <t>I-003</t>
  </si>
  <si>
    <t>Deterministic package validator</t>
  </si>
  <si>
    <t>Node.js deterministic component</t>
  </si>
  <si>
    <t>Validate JSON/package contract, identity, uniqueness, references, mappings, counts, versions, blank human fields, and prohibited Agent outputs.</t>
  </si>
  <si>
    <t>Validator report and audit trail.</t>
  </si>
  <si>
    <t>17 checks recorded as passing in earlier execution; final positive package also recorded PASS.</t>
  </si>
  <si>
    <t>Keep the raw validator report and source file available for panel inspection.</t>
  </si>
  <si>
    <t>Audit trail; Batch 2 final evaluation</t>
  </si>
  <si>
    <t>I-004</t>
  </si>
  <si>
    <t>extract-gate1-packet.ps1</t>
  </si>
  <si>
    <t>PowerShell script</t>
  </si>
  <si>
    <t>Extract and normalize Gate 1 candidates from the validated package for delivery to the Scoring Engine.</t>
  </si>
  <si>
    <t>Batch 2 defect and retest record; uploaded folder view places the script under 01_Intake Analyzer / Correspondent Gate Validator.</t>
  </si>
  <si>
    <t>Initial wrapper-object/array mismatch caused a Node.js TypeError; extractor was corrected to normalize the candidates array; retest passed.</t>
  </si>
  <si>
    <t>The script file itself is not embedded in this matrix; evidence is the execution/defect trail and folder placement supplied by the team.</t>
  </si>
  <si>
    <t>Batch 2 final evaluation; uploaded folder image</t>
  </si>
  <si>
    <t>I-005</t>
  </si>
  <si>
    <t>Gate 1 review packet / handoff artifact</t>
  </si>
  <si>
    <t>Review packet / JSON handoff</t>
  </si>
  <si>
    <t>Carry validated intake facts, indicators, exceptions, and hard-exclusion candidates to human Gate 1 and then to the Scoring Engine.</t>
  </si>
  <si>
    <t>draft-gate1-packet.json, deterministic-validation-report.json, exhaustive-source-register.json shown in the uploaded scoring-engine folder view; execution records in Batch 2.</t>
  </si>
  <si>
    <t>VERIFIED ARTIFACT / EXECUTED HANDOFF</t>
  </si>
  <si>
    <t>Validated intake artifacts were passed to Gate 1 and used by the Scoring Engine after correction.</t>
  </si>
  <si>
    <t>Human decisions are applied inside the Scoring Engine by resolve.mjs; they are not applied by the intake pipeline.</t>
  </si>
  <si>
    <t>Uploaded folder image; Batch 2 final evaluation</t>
  </si>
  <si>
    <t>I-006</t>
  </si>
  <si>
    <t>Intake-to-scoring handoff contract</t>
  </si>
  <si>
    <t>Versioned JSON/package contract</t>
  </si>
  <si>
    <t>Transmit validated intake artifacts and Gate 1 review inputs into the Scoring Engine without allowing the Intake Agent to authorize or calculate scoring.</t>
  </si>
  <si>
    <t>Package validation status, Gate 1 packet, source register, validator report, scoring-engine input artifacts, and defect trail.</t>
  </si>
  <si>
    <t>Unresolved exclusions and incomplete evidence blocked authorization; corrected artifacts proceeded through the Scoring Engine.</t>
  </si>
  <si>
    <t>Shared JSON Schema across PowerShell and Node.js remains a recommended improvement.</t>
  </si>
  <si>
    <t>Audit trail; Batch 2 final evaluation; uploaded folder images</t>
  </si>
  <si>
    <t>I-007</t>
  </si>
  <si>
    <t>Negative intake controls</t>
  </si>
  <si>
    <t>Evaluation cases</t>
  </si>
  <si>
    <t>Prove missing, incomplete, conflicting, wrongly shaped, or unresolved intake data fails closed before official scoring.</t>
  </si>
  <si>
    <t>TC-01, TC-02, TC-05, TC-06, and correction/recovery cases.</t>
  </si>
  <si>
    <t>RETURN_FOR_CORRECTION, mapping conflict, TypeError, and HARD_EXCLUSION_UNRESOLVED states observed before correction.</t>
  </si>
  <si>
    <t>Synthetic inputs; not production-volume or adversarial document testing.</t>
  </si>
  <si>
    <t>DETERMINISTIC SCORING ENGINE AND EXECUTION EVIDENCE</t>
  </si>
  <si>
    <t>Corrected ownership: resolve.mjs is part of the Scoring Engine, alongside admission.mjs, mapper.mjs, scoring.mjs, and fullRun.mjs. The uploaded folder view shows these modules and their tests together under 02_Scoring_Engine / _Scoring Engine / correspondent-gate.</t>
  </si>
  <si>
    <t>S-001</t>
  </si>
  <si>
    <t>resolve.mjs</t>
  </si>
  <si>
    <t>Node.js Scoring Engine module</t>
  </si>
  <si>
    <t>Apply human Gate 1 decisions to facts, indicators, exceptions, and hard-exclusion candidates before admission.</t>
  </si>
  <si>
    <t>Uploaded scoring-engine folder view; runtime-source inspection; corrected gate1-decision.json; resolution logs and Batch 2 retest.</t>
  </si>
  <si>
    <t>Incorrect nesting/field names first failed; corrected top-level arrays and runtime field names applied HEX-0002 and HEX-0003 as NOT_TRIGGERED.</t>
  </si>
  <si>
    <t>Register resolve.mjs, resolve.test.mjs, gate1-decision.json, and raw resolution log as retained artifacts.</t>
  </si>
  <si>
    <t>Uploaded scoring-engine folder image; Batch 2 correction/retest</t>
  </si>
  <si>
    <t>S-002</t>
  </si>
  <si>
    <t>resolve.test.mjs</t>
  </si>
  <si>
    <t>Node.js Scoring Engine test</t>
  </si>
  <si>
    <t>Test Gate 1 decision application and resolution behavior.</t>
  </si>
  <si>
    <t>File is visible beside resolve.mjs in the uploaded scoring-engine folder. Test behavior is discussed in registered evaluation records.</t>
  </si>
  <si>
    <t>VERIFIED FILE PRESENCE / REPORTED EVIDENCE</t>
  </si>
  <si>
    <t>Test file exists in the Scoring Engine folder; resolution behavior passed after correction.</t>
  </si>
  <si>
    <t>The test source and direct execution log were not uploaded separately in this conversation.</t>
  </si>
  <si>
    <t>Uploaded scoring-engine folder image; Batch 2</t>
  </si>
  <si>
    <t>S-003</t>
  </si>
  <si>
    <t>admission.mjs</t>
  </si>
  <si>
    <t>Check package status, evidence completeness, resolved Gate 1 decisions, exclusions, versions, mappings, and required anchors before scoring.</t>
  </si>
  <si>
    <t>Uploaded scoring-engine folder view; admission output; negative/positive execution logs described in Batch 2.</t>
  </si>
  <si>
    <t>Blocked with unresolved exclusions/incomplete inputs; later returned READY and AUTHORISED with no open blockers.</t>
  </si>
  <si>
    <t>Retain admission.mjs, admission.test.mjs, and raw logs beside the matrix.</t>
  </si>
  <si>
    <t>Uploaded folder image; Batch 2 TC-06 to TC-11</t>
  </si>
  <si>
    <t>S-004</t>
  </si>
  <si>
    <t>mapper.mjs</t>
  </si>
  <si>
    <t>Map accepted source facts through versioned mapping rules into inherent factors F1-F6 and control domains C1-C4.</t>
  </si>
  <si>
    <t>Uploaded scoring-engine folder view; mapping.rules.v1.1.json; factor trace; mapping defect/correction history.</t>
  </si>
  <si>
    <t>Final trace used F1-F6 anchors and source IDs, including F5 from SRC-CBDDQ-19 and F6 from SRC-SCOPE-S23.</t>
  </si>
  <si>
    <t>Synthetic mapping is not an approved production model.</t>
  </si>
  <si>
    <t>Uploaded folder image; Batch 2 final scoring trace</t>
  </si>
  <si>
    <t>S-005</t>
  </si>
  <si>
    <t>scoring.mjs</t>
  </si>
  <si>
    <t>Calculate weighted inherent risk, combined control multiplier, residual floor, official residual score, band, and routing.</t>
  </si>
  <si>
    <t>Uploaded scoring-engine folder view; weights.v0.1.json; scoring_output.json values and arithmetic reconciliation.</t>
  </si>
  <si>
    <t>Inherent 64.00; control multiplier 0.7807; residual 49.97; floor 12.80 not applied; High; Committee at Gate 3.</t>
  </si>
  <si>
    <t>Retain scoring.mjs, scoring.test.mjs, weights, output JSON, and config hash.</t>
  </si>
  <si>
    <t>Uploaded folder image; Batch 2 TC-12 to TC-15</t>
  </si>
  <si>
    <t>S-006</t>
  </si>
  <si>
    <t>fullRun.mjs</t>
  </si>
  <si>
    <t>Node.js Scoring Engine orchestration module</t>
  </si>
  <si>
    <t>Run resolve, admission, mapping, and scoring sequence and emit final case/run outputs.</t>
  </si>
  <si>
    <t>Uploaded scoring-engine folder view; corrected end-to-end run; final evaluation record.</t>
  </si>
  <si>
    <t>CG-CASE-HP-002 / CG-RUN-HP-002 reached official scoring and Gate 3 admission.</t>
  </si>
  <si>
    <t>Preserve raw console/execution log for strongest proof.</t>
  </si>
  <si>
    <t>Uploaded folder image; Batch 2 integrated evaluation</t>
  </si>
  <si>
    <t>S-007</t>
  </si>
  <si>
    <t>Scoring Engine configuration</t>
  </si>
  <si>
    <t>JSON configuration artifacts</t>
  </si>
  <si>
    <t>Define mapping rules and weights separately from code.</t>
  </si>
  <si>
    <t>mapping.rules.v1.1.json and weights.v0.1.json visible in the uploaded folder; version-conflict tests and scoring trace.</t>
  </si>
  <si>
    <t>Configuration files exist and version mismatches blocked progression in testing.</t>
  </si>
  <si>
    <t>Exact configuration content was not uploaded for independent inspection here.</t>
  </si>
  <si>
    <t>Uploaded folder image; Expanded Requirements; Batch 2</t>
  </si>
  <si>
    <t>S-008</t>
  </si>
  <si>
    <t>Scoring Engine inputs and retained outputs</t>
  </si>
  <si>
    <t>JSON evidence artifacts</t>
  </si>
  <si>
    <t>Provide validated intake, Gate 1 decision, source register, validation report, and official scoring result to the engine and downstream gates.</t>
  </si>
  <si>
    <t>scoring_output.json, draft-gate1-packet.json, deterministic-validation-report.json, exhaustive-source-register.json, and gate1-decision.json visible in the uploaded scoring-engine folder.</t>
  </si>
  <si>
    <t>VERIFIED FILE PRESENCE / EXECUTED WORKFLOW</t>
  </si>
  <si>
    <t>Folder contains the principal input/output evidence set used by the final run.</t>
  </si>
  <si>
    <t>PASS / ARTIFACT PRESENCE</t>
  </si>
  <si>
    <t>File contents were not independently opened in this turn; execution results remain grounded in registered evaluation records.</t>
  </si>
  <si>
    <t>S-009</t>
  </si>
  <si>
    <t>Factor calculation reconciliation</t>
  </si>
  <si>
    <t>Independent arithmetic check</t>
  </si>
  <si>
    <t>Verify anchors, weights, contributions, multiplier, residual, floor, band, and routing.</t>
  </si>
  <si>
    <t>TC-12 through TC-15.</t>
  </si>
  <si>
    <t>12 + 15 + 6 + 0 + 25 + 6 = 64.00; 0.94^4 = 0.7807 rounded; 64.00 x 0.7807 = 49.97.</t>
  </si>
  <si>
    <t>High-band threshold interval was not embedded in the supplied scoring output, per evaluation caveat.</t>
  </si>
  <si>
    <t>Batch 2 arithmetic cases</t>
  </si>
  <si>
    <t>S-010</t>
  </si>
  <si>
    <t>Negative scoring controls</t>
  </si>
  <si>
    <t>Prove scoring refuses incomplete evidence, unresolved exclusions, version mismatch, missing anchors, or unauthorized state.</t>
  </si>
  <si>
    <t>Earlier blocked-state notes and final Batch 2 negative tests.</t>
  </si>
  <si>
    <t>NOT_AUTHORISED and correction states occurred before the successful run.</t>
  </si>
  <si>
    <t>Production security, concurrency, tamper, and scale tests remain open.</t>
  </si>
  <si>
    <t>Audit trail; Batch 2</t>
  </si>
  <si>
    <t>S-011</t>
  </si>
  <si>
    <t>Automated module tests</t>
  </si>
  <si>
    <t>Node.js test files</t>
  </si>
  <si>
    <t>Test resolve, admission, mapping, and scoring modules.</t>
  </si>
  <si>
    <t>resolve.test.mjs, admission.test.mjs, mapper.test.mjs, and scoring.test.mjs visible in the uploaded scoring-engine folder.</t>
  </si>
  <si>
    <t>Module-level test files exist; broader suite of 65 tests is reported in earlier project evidence.</t>
  </si>
  <si>
    <t>REPORTED / FILE PRESENCE</t>
  </si>
  <si>
    <t>Raw test output was not uploaded separately.</t>
  </si>
  <si>
    <t>Uploaded folder image; Expanded Requirements; Internal summary</t>
  </si>
  <si>
    <t>S-012</t>
  </si>
  <si>
    <t>500-run repeatability test</t>
  </si>
  <si>
    <t>Determinism evidence claim</t>
  </si>
  <si>
    <t>Prove identical input/version yields byte-identical output repeatedly.</t>
  </si>
  <si>
    <t>Expanded Requirements and Internal summary.</t>
  </si>
  <si>
    <t>500 repeated executions with byte-identical output reported.</t>
  </si>
  <si>
    <t>Raw repeatability log is not registered in this matrix.</t>
  </si>
  <si>
    <t>Expanded Requirements; Internal summary</t>
  </si>
  <si>
    <t>S-013</t>
  </si>
  <si>
    <t>Half-up rounding and residual-floor tests</t>
  </si>
  <si>
    <t>Numerical invariant tests</t>
  </si>
  <si>
    <t>Confirm explicit rounding and 20% residual-risk floor behavior.</t>
  </si>
  <si>
    <t>Expanded Requirements, Internal summary, and final run floor trace.</t>
  </si>
  <si>
    <t>2.675 -&gt; 2.68 reported; final run calculated floor 12.80 and correctly did not apply it.</t>
  </si>
  <si>
    <t>Separate raw boundary/floor-binding outputs should be retained if presented.</t>
  </si>
  <si>
    <t>Expanded Requirements; Batch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</si>
</sst>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7"/>
      <color rgb="FFFFFFFF"/>
      <name val="Carlito"/>
    </font>
    <font>
      <b/>
      <sz val="11"/>
      <color rgb="FF8A5B00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7A70"/>
      </patternFill>
    </fill>
    <fill>
      <patternFill patternType="solid">
        <fgColor rgb="FF173F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10">
    <dxf>
      <fill>
        <patternFill patternType="solid">
          <bgColor rgb="FFFFF2CC"/>
        </patternFill>
      </fill>
    </dxf>
    <dxf>
      <fill>
        <patternFill patternType="solid"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datedProofMatrix" displayName="UpdatedProofMatrix" ref="A1:J21">
  <tableColumns count="10">
    <tableColumn id="1" xr3:uid="{00000000-0010-0000-0000-000001000000}" name="ID"/>
    <tableColumn id="2" xr3:uid="{00000000-0010-0000-0000-000002000000}" name="Lifecycle Lens"/>
    <tableColumn id="3" xr3:uid="{00000000-0010-0000-0000-000003000000}" name="Claim / Control"/>
    <tableColumn id="4" xr3:uid="{00000000-0010-0000-0000-000004000000}" name="Artifact Evidence"/>
    <tableColumn id="5" xr3:uid="{00000000-0010-0000-0000-000005000000}" name="Evidence Class"/>
    <tableColumn id="6" xr3:uid="{00000000-0010-0000-0000-000006000000}" name="Observed / Proposed Result"/>
    <tableColumn id="7" xr3:uid="{00000000-0010-0000-0000-000007000000}" name="Current Status"/>
    <tableColumn id="8" xr3:uid="{00000000-0010-0000-0000-000008000000}" name="Gap / Caveat"/>
    <tableColumn id="9" xr3:uid="{00000000-0010-0000-0000-000009000000}" name="Presentation Language"/>
    <tableColumn id="10" xr3:uid="{00000000-0010-0000-0000-00000A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ge56Table" displayName="Stage56Table" ref="A1:E8">
  <tableColumns count="5">
    <tableColumn id="1" xr3:uid="{00000000-0010-0000-0100-000001000000}" name="Area"/>
    <tableColumn id="2" xr3:uid="{00000000-0010-0000-0100-000002000000}" name="Stage 5 Proposed Strategy"/>
    <tableColumn id="3" xr3:uid="{00000000-0010-0000-0100-000003000000}" name="Stage 6 Proposed Operations"/>
    <tableColumn id="4" xr3:uid="{00000000-0010-0000-0100-000004000000}" name="Evidence Status"/>
    <tableColumn id="5" xr3:uid="{00000000-0010-0000-0100-000005000000}" name="Team Pos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pdatedTokenTable" displayName="UpdatedTokenTable" ref="A1:E7">
  <tableColumns count="5">
    <tableColumn id="1" xr3:uid="{00000000-0010-0000-0200-000001000000}" name="Work category"/>
    <tableColumn id="2" xr3:uid="{00000000-0010-0000-0200-000002000000}" name="Low"/>
    <tableColumn id="3" xr3:uid="{00000000-0010-0000-0200-000003000000}" name="High"/>
    <tableColumn id="4" xr3:uid="{00000000-0010-0000-0200-000004000000}" name="Planning note"/>
    <tableColumn id="5" xr3:uid="{00000000-0010-0000-0200-000005000000}" name="Telemetry cave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pdatedSourceTable" displayName="UpdatedSourceTable" ref="A1:D9">
  <tableColumns count="4">
    <tableColumn id="1" xr3:uid="{00000000-0010-0000-0300-000001000000}" name="ID"/>
    <tableColumn id="2" xr3:uid="{00000000-0010-0000-0300-000002000000}" name="Artifact"/>
    <tableColumn id="3" xr3:uid="{00000000-0010-0000-0300-000003000000}" name="Role"/>
    <tableColumn id="4" xr3:uid="{00000000-0010-0000-0300-000004000000}" name="Evidence qualific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takeEvidenceTable" displayName="IntakeEvidenceTable" ref="A5:J13">
  <tableColumns count="10">
    <tableColumn id="1" xr3:uid="{00000000-0010-0000-0400-000001000000}" name="ID"/>
    <tableColumn id="2" xr3:uid="{00000000-0010-0000-0400-000002000000}" name="Component / Artifact"/>
    <tableColumn id="3" xr3:uid="{00000000-0010-0000-0400-000003000000}" name="Technology / Type"/>
    <tableColumn id="4" xr3:uid="{00000000-0010-0000-0400-000004000000}" name="Purpose"/>
    <tableColumn id="5" xr3:uid="{00000000-0010-0000-0400-000005000000}" name="Primary Evidence"/>
    <tableColumn id="6" xr3:uid="{00000000-0010-0000-0400-000006000000}" name="Evidence Class"/>
    <tableColumn id="7" xr3:uid="{00000000-0010-0000-0400-000007000000}" name="Observed / Reported Result"/>
    <tableColumn id="8" xr3:uid="{00000000-0010-0000-0400-000008000000}" name="Current Status"/>
    <tableColumn id="9" xr3:uid="{00000000-0010-0000-0400-000009000000}" name="Gap / Caveat"/>
    <tableColumn id="10" xr3:uid="{00000000-0010-0000-0400-00000A000000}" name="Source Recor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oringEvidenceTable" displayName="ScoringEvidenceTable" ref="A5:J17">
  <tableColumns count="10">
    <tableColumn id="1" xr3:uid="{00000000-0010-0000-0500-000001000000}" name="ID"/>
    <tableColumn id="2" xr3:uid="{00000000-0010-0000-0500-000002000000}" name="Component / Artifact"/>
    <tableColumn id="3" xr3:uid="{00000000-0010-0000-0500-000003000000}" name="Technology / Type"/>
    <tableColumn id="4" xr3:uid="{00000000-0010-0000-0500-000004000000}" name="Purpose"/>
    <tableColumn id="5" xr3:uid="{00000000-0010-0000-0500-000005000000}" name="Primary Evidence"/>
    <tableColumn id="6" xr3:uid="{00000000-0010-0000-0500-000006000000}" name="Evidence Class"/>
    <tableColumn id="7" xr3:uid="{00000000-0010-0000-0500-000007000000}" name="Observed / Reported Result"/>
    <tableColumn id="8" xr3:uid="{00000000-0010-0000-0500-000008000000}" name="Current Status"/>
    <tableColumn id="9" xr3:uid="{00000000-0010-0000-0500-000009000000}" name="Gap / Caveat"/>
    <tableColumn id="10" xr3:uid="{00000000-0010-0000-0500-00000A000000}" name="Source Rec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zoomScaleSheetLayoutView="100" workbookViewId="0"/>
  </sheetViews>
  <sheetFormatPr defaultRowHeight="15"/>
  <cols>
    <col min="1" max="1" width="24" customWidth="1"/>
    <col min="2" max="2" width="42" customWidth="1"/>
    <col min="3" max="3" width="12" customWidth="1"/>
    <col min="4" max="4" width="43" customWidth="1"/>
    <col min="5" max="5" width="42" customWidth="1"/>
    <col min="6" max="6" width="34" customWidth="1"/>
    <col min="7" max="7" width="18" customWidth="1"/>
    <col min="8" max="8" width="20" customWidth="1"/>
  </cols>
  <sheetData>
    <row r="1" spans="1:8">
      <c r="A1" s="8" t="s">
        <v>0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9" t="s">
        <v>1</v>
      </c>
      <c r="B3" s="9"/>
      <c r="C3" s="9"/>
      <c r="D3" s="9"/>
      <c r="E3" s="9"/>
      <c r="F3" s="9"/>
      <c r="G3" s="9"/>
      <c r="H3" s="9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4" t="s">
        <v>2</v>
      </c>
      <c r="B5" s="4" t="s">
        <v>3</v>
      </c>
      <c r="C5" s="1"/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>
      <c r="A6" s="1" t="s">
        <v>9</v>
      </c>
      <c r="B6" s="1">
        <v>45</v>
      </c>
      <c r="C6" s="1"/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8">
      <c r="A7" s="1" t="s">
        <v>15</v>
      </c>
      <c r="B7" s="1">
        <v>17</v>
      </c>
      <c r="C7" s="1"/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</row>
    <row r="8" spans="1:8">
      <c r="A8" s="1" t="s">
        <v>21</v>
      </c>
      <c r="B8" s="1">
        <v>201</v>
      </c>
      <c r="C8" s="1"/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</row>
    <row r="9" spans="1:8">
      <c r="A9" s="1" t="s">
        <v>27</v>
      </c>
      <c r="B9" s="1">
        <v>20</v>
      </c>
      <c r="C9" s="1"/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</row>
    <row r="10" spans="1:8">
      <c r="A10" s="1" t="s">
        <v>33</v>
      </c>
      <c r="B10" s="1">
        <v>49.97</v>
      </c>
      <c r="C10" s="1"/>
      <c r="D10" s="1" t="s">
        <v>34</v>
      </c>
      <c r="E10" s="1" t="s">
        <v>35</v>
      </c>
      <c r="F10" s="1" t="s">
        <v>36</v>
      </c>
      <c r="G10" s="1" t="s">
        <v>37</v>
      </c>
      <c r="H10" s="1" t="s">
        <v>38</v>
      </c>
    </row>
    <row r="11" spans="1:8">
      <c r="A11" s="1" t="s">
        <v>39</v>
      </c>
      <c r="B11" s="1" t="s">
        <v>40</v>
      </c>
      <c r="C11" s="1"/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</row>
    <row r="12" spans="1:8">
      <c r="A12" s="1" t="s">
        <v>46</v>
      </c>
      <c r="B12" s="1" t="s">
        <v>47</v>
      </c>
      <c r="C12" s="1"/>
      <c r="D12" s="1" t="s">
        <v>48</v>
      </c>
      <c r="E12" s="1" t="s">
        <v>49</v>
      </c>
      <c r="F12" s="1" t="s">
        <v>50</v>
      </c>
      <c r="G12" s="1" t="s">
        <v>51</v>
      </c>
      <c r="H12" s="1" t="s">
        <v>52</v>
      </c>
    </row>
    <row r="13" spans="1:8">
      <c r="A13" s="1" t="s">
        <v>53</v>
      </c>
      <c r="B13" s="1" t="s">
        <v>47</v>
      </c>
      <c r="C13" s="1"/>
      <c r="D13" s="1"/>
      <c r="E13" s="1"/>
      <c r="F13" s="1"/>
      <c r="G13" s="1"/>
      <c r="H13" s="1"/>
    </row>
    <row r="15" spans="1:8">
      <c r="A15" s="5" t="s">
        <v>54</v>
      </c>
      <c r="B15" s="5"/>
      <c r="C15" s="5"/>
      <c r="D15" s="5"/>
      <c r="E15" s="5"/>
      <c r="F15" s="5"/>
      <c r="G15" s="5"/>
      <c r="H15" s="5"/>
    </row>
    <row r="16" spans="1:8">
      <c r="A16" s="4" t="s">
        <v>55</v>
      </c>
      <c r="B16" s="4" t="s">
        <v>56</v>
      </c>
      <c r="C16" s="4" t="s">
        <v>57</v>
      </c>
      <c r="D16" s="4" t="s">
        <v>58</v>
      </c>
      <c r="E16" s="4" t="s">
        <v>59</v>
      </c>
      <c r="F16" s="4" t="s">
        <v>60</v>
      </c>
      <c r="G16" s="4" t="s">
        <v>61</v>
      </c>
      <c r="H16" s="4" t="s">
        <v>62</v>
      </c>
    </row>
    <row r="17" spans="1:8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67</v>
      </c>
      <c r="F17" s="1" t="s">
        <v>68</v>
      </c>
      <c r="G17" s="1" t="s">
        <v>69</v>
      </c>
      <c r="H17" s="1" t="s">
        <v>63</v>
      </c>
    </row>
    <row r="18" spans="1: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75</v>
      </c>
      <c r="G18" s="1" t="s">
        <v>69</v>
      </c>
      <c r="H18" s="1" t="s">
        <v>70</v>
      </c>
    </row>
  </sheetData>
  <mergeCells count="3">
    <mergeCell ref="A1:H2"/>
    <mergeCell ref="A3:H3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zoomScaleNormal="100" zoomScaleSheetLayoutView="100" workbookViewId="0"/>
  </sheetViews>
  <sheetFormatPr defaultRowHeight="15"/>
  <cols>
    <col min="1" max="1" width="10" customWidth="1"/>
    <col min="2" max="2" width="15" customWidth="1"/>
    <col min="3" max="4" width="28" customWidth="1"/>
    <col min="5" max="5" width="24" customWidth="1"/>
    <col min="6" max="6" width="36" customWidth="1"/>
    <col min="7" max="7" width="18" customWidth="1"/>
    <col min="8" max="9" width="34" customWidth="1"/>
    <col min="10" max="10" width="24" customWidth="1"/>
  </cols>
  <sheetData>
    <row r="1" spans="1:10">
      <c r="A1" s="4" t="s">
        <v>76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</row>
    <row r="2" spans="1:10">
      <c r="A2" s="1" t="s">
        <v>86</v>
      </c>
      <c r="B2" s="1" t="s">
        <v>87</v>
      </c>
      <c r="C2" s="1" t="s">
        <v>88</v>
      </c>
      <c r="D2" s="1" t="s">
        <v>89</v>
      </c>
      <c r="E2" s="1" t="s">
        <v>16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</row>
    <row r="3" spans="1:10">
      <c r="A3" s="1" t="s">
        <v>95</v>
      </c>
      <c r="B3" s="1" t="s">
        <v>96</v>
      </c>
      <c r="C3" s="1" t="s">
        <v>97</v>
      </c>
      <c r="D3" s="1" t="s">
        <v>98</v>
      </c>
      <c r="E3" s="1" t="s">
        <v>16</v>
      </c>
      <c r="F3" s="1" t="s">
        <v>99</v>
      </c>
      <c r="G3" s="1" t="s">
        <v>91</v>
      </c>
      <c r="H3" s="1" t="s">
        <v>100</v>
      </c>
      <c r="I3" s="1" t="s">
        <v>101</v>
      </c>
      <c r="J3" s="1" t="s">
        <v>98</v>
      </c>
    </row>
    <row r="4" spans="1:10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16</v>
      </c>
      <c r="F4" s="1" t="s">
        <v>106</v>
      </c>
      <c r="G4" s="1" t="s">
        <v>107</v>
      </c>
      <c r="H4" s="1" t="s">
        <v>108</v>
      </c>
      <c r="I4" s="1" t="s">
        <v>109</v>
      </c>
      <c r="J4" s="1" t="s">
        <v>110</v>
      </c>
    </row>
    <row r="5" spans="1:10">
      <c r="A5" s="1" t="s">
        <v>111</v>
      </c>
      <c r="B5" s="1" t="s">
        <v>112</v>
      </c>
      <c r="C5" s="1" t="s">
        <v>113</v>
      </c>
      <c r="D5" s="1" t="s">
        <v>114</v>
      </c>
      <c r="E5" s="1" t="s">
        <v>10</v>
      </c>
      <c r="F5" s="1" t="s">
        <v>115</v>
      </c>
      <c r="G5" s="1" t="s">
        <v>116</v>
      </c>
      <c r="H5" s="1" t="s">
        <v>117</v>
      </c>
      <c r="I5" s="1" t="s">
        <v>118</v>
      </c>
      <c r="J5" s="1" t="s">
        <v>119</v>
      </c>
    </row>
    <row r="6" spans="1:10">
      <c r="A6" s="1" t="s">
        <v>120</v>
      </c>
      <c r="B6" s="1" t="s">
        <v>121</v>
      </c>
      <c r="C6" s="1" t="s">
        <v>122</v>
      </c>
      <c r="D6" s="1" t="s">
        <v>123</v>
      </c>
      <c r="E6" s="1" t="s">
        <v>10</v>
      </c>
      <c r="F6" s="1" t="s">
        <v>124</v>
      </c>
      <c r="G6" s="1" t="s">
        <v>125</v>
      </c>
      <c r="H6" s="1" t="s">
        <v>126</v>
      </c>
      <c r="I6" s="1" t="s">
        <v>127</v>
      </c>
      <c r="J6" s="1" t="s">
        <v>128</v>
      </c>
    </row>
    <row r="7" spans="1:10">
      <c r="A7" s="1" t="s">
        <v>129</v>
      </c>
      <c r="B7" s="1" t="s">
        <v>121</v>
      </c>
      <c r="C7" s="1" t="s">
        <v>130</v>
      </c>
      <c r="D7" s="1" t="s">
        <v>131</v>
      </c>
      <c r="E7" s="1" t="s">
        <v>10</v>
      </c>
      <c r="F7" s="1" t="s">
        <v>132</v>
      </c>
      <c r="G7" s="1" t="s">
        <v>125</v>
      </c>
      <c r="H7" s="1" t="s">
        <v>133</v>
      </c>
      <c r="I7" s="1" t="s">
        <v>134</v>
      </c>
      <c r="J7" s="1" t="s">
        <v>128</v>
      </c>
    </row>
    <row r="8" spans="1:10">
      <c r="A8" s="1" t="s">
        <v>135</v>
      </c>
      <c r="B8" s="1" t="s">
        <v>121</v>
      </c>
      <c r="C8" s="1" t="s">
        <v>136</v>
      </c>
      <c r="D8" s="1" t="s">
        <v>137</v>
      </c>
      <c r="E8" s="1" t="s">
        <v>22</v>
      </c>
      <c r="F8" s="1" t="s">
        <v>138</v>
      </c>
      <c r="G8" s="1" t="s">
        <v>139</v>
      </c>
      <c r="H8" s="1" t="s">
        <v>140</v>
      </c>
      <c r="I8" s="1" t="s">
        <v>141</v>
      </c>
      <c r="J8" s="1" t="s">
        <v>142</v>
      </c>
    </row>
    <row r="9" spans="1:10">
      <c r="A9" s="1" t="s">
        <v>143</v>
      </c>
      <c r="B9" s="1" t="s">
        <v>144</v>
      </c>
      <c r="C9" s="1" t="s">
        <v>145</v>
      </c>
      <c r="D9" s="1" t="s">
        <v>146</v>
      </c>
      <c r="E9" s="1" t="s">
        <v>147</v>
      </c>
      <c r="F9" s="1" t="s">
        <v>148</v>
      </c>
      <c r="G9" s="1" t="s">
        <v>125</v>
      </c>
      <c r="H9" s="1" t="s">
        <v>149</v>
      </c>
      <c r="I9" s="1" t="s">
        <v>150</v>
      </c>
      <c r="J9" s="1" t="s">
        <v>128</v>
      </c>
    </row>
    <row r="10" spans="1:10">
      <c r="A10" s="1" t="s">
        <v>151</v>
      </c>
      <c r="B10" s="1" t="s">
        <v>152</v>
      </c>
      <c r="C10" s="1" t="s">
        <v>153</v>
      </c>
      <c r="D10" s="1" t="s">
        <v>154</v>
      </c>
      <c r="E10" s="1" t="s">
        <v>10</v>
      </c>
      <c r="F10" s="1" t="s">
        <v>155</v>
      </c>
      <c r="G10" s="1" t="s">
        <v>156</v>
      </c>
      <c r="H10" s="1" t="s">
        <v>157</v>
      </c>
      <c r="I10" s="1" t="s">
        <v>158</v>
      </c>
      <c r="J10" s="1" t="s">
        <v>128</v>
      </c>
    </row>
    <row r="11" spans="1:10">
      <c r="A11" s="1" t="s">
        <v>159</v>
      </c>
      <c r="B11" s="1" t="s">
        <v>160</v>
      </c>
      <c r="C11" s="1" t="s">
        <v>161</v>
      </c>
      <c r="D11" s="1" t="s">
        <v>38</v>
      </c>
      <c r="E11" s="1" t="s">
        <v>34</v>
      </c>
      <c r="F11" s="1" t="s">
        <v>162</v>
      </c>
      <c r="G11" s="1" t="s">
        <v>163</v>
      </c>
      <c r="H11" s="1" t="s">
        <v>164</v>
      </c>
      <c r="I11" s="1" t="s">
        <v>165</v>
      </c>
      <c r="J11" s="1" t="s">
        <v>166</v>
      </c>
    </row>
    <row r="12" spans="1:10">
      <c r="A12" s="1" t="s">
        <v>167</v>
      </c>
      <c r="B12" s="1" t="s">
        <v>168</v>
      </c>
      <c r="C12" s="1" t="s">
        <v>169</v>
      </c>
      <c r="D12" s="1" t="s">
        <v>170</v>
      </c>
      <c r="E12" s="1" t="s">
        <v>41</v>
      </c>
      <c r="F12" s="1" t="s">
        <v>171</v>
      </c>
      <c r="G12" s="1" t="s">
        <v>172</v>
      </c>
      <c r="H12" s="1" t="s">
        <v>173</v>
      </c>
      <c r="I12" s="1" t="s">
        <v>174</v>
      </c>
      <c r="J12" s="1" t="s">
        <v>175</v>
      </c>
    </row>
    <row r="13" spans="1:10">
      <c r="A13" s="1" t="s">
        <v>176</v>
      </c>
      <c r="B13" s="1" t="s">
        <v>168</v>
      </c>
      <c r="C13" s="1" t="s">
        <v>177</v>
      </c>
      <c r="D13" s="1" t="s">
        <v>170</v>
      </c>
      <c r="E13" s="1" t="s">
        <v>41</v>
      </c>
      <c r="F13" s="1" t="s">
        <v>178</v>
      </c>
      <c r="G13" s="1" t="s">
        <v>179</v>
      </c>
      <c r="H13" s="1" t="s">
        <v>180</v>
      </c>
      <c r="I13" s="1" t="s">
        <v>181</v>
      </c>
      <c r="J13" s="1" t="s">
        <v>175</v>
      </c>
    </row>
    <row r="14" spans="1:10">
      <c r="A14" s="1" t="s">
        <v>182</v>
      </c>
      <c r="B14" s="1" t="s">
        <v>168</v>
      </c>
      <c r="C14" s="1" t="s">
        <v>183</v>
      </c>
      <c r="D14" s="1" t="s">
        <v>170</v>
      </c>
      <c r="E14" s="1" t="s">
        <v>41</v>
      </c>
      <c r="F14" s="1" t="s">
        <v>184</v>
      </c>
      <c r="G14" s="1" t="s">
        <v>179</v>
      </c>
      <c r="H14" s="1" t="s">
        <v>185</v>
      </c>
      <c r="I14" s="1" t="s">
        <v>186</v>
      </c>
      <c r="J14" s="1" t="s">
        <v>175</v>
      </c>
    </row>
    <row r="15" spans="1:10">
      <c r="A15" s="1" t="s">
        <v>187</v>
      </c>
      <c r="B15" s="1" t="s">
        <v>188</v>
      </c>
      <c r="C15" s="1" t="s">
        <v>189</v>
      </c>
      <c r="D15" s="1" t="s">
        <v>190</v>
      </c>
      <c r="E15" s="1" t="s">
        <v>41</v>
      </c>
      <c r="F15" s="1" t="s">
        <v>191</v>
      </c>
      <c r="G15" s="1" t="s">
        <v>179</v>
      </c>
      <c r="H15" s="1" t="s">
        <v>192</v>
      </c>
      <c r="I15" s="1" t="s">
        <v>193</v>
      </c>
      <c r="J15" s="1" t="s">
        <v>194</v>
      </c>
    </row>
    <row r="16" spans="1:10">
      <c r="A16" s="1" t="s">
        <v>195</v>
      </c>
      <c r="B16" s="1" t="s">
        <v>188</v>
      </c>
      <c r="C16" s="1" t="s">
        <v>196</v>
      </c>
      <c r="D16" s="1" t="s">
        <v>190</v>
      </c>
      <c r="E16" s="1" t="s">
        <v>41</v>
      </c>
      <c r="F16" s="1" t="s">
        <v>197</v>
      </c>
      <c r="G16" s="1" t="s">
        <v>179</v>
      </c>
      <c r="H16" s="1" t="s">
        <v>198</v>
      </c>
      <c r="I16" s="1" t="s">
        <v>199</v>
      </c>
      <c r="J16" s="1" t="s">
        <v>194</v>
      </c>
    </row>
    <row r="17" spans="1:10">
      <c r="A17" s="1" t="s">
        <v>200</v>
      </c>
      <c r="B17" s="1" t="s">
        <v>188</v>
      </c>
      <c r="C17" s="1" t="s">
        <v>201</v>
      </c>
      <c r="D17" s="1" t="s">
        <v>190</v>
      </c>
      <c r="E17" s="1" t="s">
        <v>41</v>
      </c>
      <c r="F17" s="1" t="s">
        <v>202</v>
      </c>
      <c r="G17" s="1" t="s">
        <v>179</v>
      </c>
      <c r="H17" s="1" t="s">
        <v>203</v>
      </c>
      <c r="I17" s="1" t="s">
        <v>204</v>
      </c>
      <c r="J17" s="1" t="s">
        <v>194</v>
      </c>
    </row>
    <row r="18" spans="1:10">
      <c r="A18" s="1" t="s">
        <v>205</v>
      </c>
      <c r="B18" s="1" t="s">
        <v>206</v>
      </c>
      <c r="C18" s="1" t="s">
        <v>207</v>
      </c>
      <c r="D18" s="1" t="s">
        <v>30</v>
      </c>
      <c r="E18" s="1" t="s">
        <v>28</v>
      </c>
      <c r="F18" s="1" t="s">
        <v>208</v>
      </c>
      <c r="G18" s="1" t="s">
        <v>209</v>
      </c>
      <c r="H18" s="1" t="s">
        <v>210</v>
      </c>
      <c r="I18" s="1" t="s">
        <v>211</v>
      </c>
      <c r="J18" s="1" t="s">
        <v>212</v>
      </c>
    </row>
    <row r="19" spans="1:10">
      <c r="A19" s="1" t="s">
        <v>213</v>
      </c>
      <c r="B19" s="1" t="s">
        <v>206</v>
      </c>
      <c r="C19" s="1" t="s">
        <v>214</v>
      </c>
      <c r="D19" s="1" t="s">
        <v>30</v>
      </c>
      <c r="E19" s="1" t="s">
        <v>28</v>
      </c>
      <c r="F19" s="1" t="s">
        <v>215</v>
      </c>
      <c r="G19" s="1" t="s">
        <v>209</v>
      </c>
      <c r="H19" s="1" t="s">
        <v>216</v>
      </c>
      <c r="I19" s="1" t="s">
        <v>211</v>
      </c>
      <c r="J19" s="1" t="s">
        <v>212</v>
      </c>
    </row>
    <row r="20" spans="1:10">
      <c r="A20" s="1" t="s">
        <v>217</v>
      </c>
      <c r="B20" s="1" t="s">
        <v>206</v>
      </c>
      <c r="C20" s="1" t="s">
        <v>218</v>
      </c>
      <c r="D20" s="1" t="s">
        <v>219</v>
      </c>
      <c r="E20" s="1" t="s">
        <v>34</v>
      </c>
      <c r="F20" s="1" t="s">
        <v>220</v>
      </c>
      <c r="G20" s="1" t="s">
        <v>163</v>
      </c>
      <c r="H20" s="1" t="s">
        <v>221</v>
      </c>
      <c r="I20" s="1" t="s">
        <v>222</v>
      </c>
      <c r="J20" s="1" t="s">
        <v>223</v>
      </c>
    </row>
    <row r="21" spans="1:10">
      <c r="A21" s="1" t="s">
        <v>224</v>
      </c>
      <c r="B21" s="1" t="s">
        <v>225</v>
      </c>
      <c r="C21" s="1" t="s">
        <v>226</v>
      </c>
      <c r="D21" s="1" t="s">
        <v>227</v>
      </c>
      <c r="E21" s="1" t="s">
        <v>48</v>
      </c>
      <c r="F21" s="1" t="s">
        <v>228</v>
      </c>
      <c r="G21" s="1" t="s">
        <v>48</v>
      </c>
      <c r="H21" s="1" t="s">
        <v>229</v>
      </c>
      <c r="I21" s="1" t="s">
        <v>230</v>
      </c>
      <c r="J21" s="1" t="s">
        <v>231</v>
      </c>
    </row>
  </sheetData>
  <conditionalFormatting sqref="G2:G21">
    <cfRule type="expression" dxfId="9" priority="1">
      <formula>OR($G2="PASS",$G2="COMPLETE",$G2="PASS AFTER FIX")</formula>
    </cfRule>
    <cfRule type="expression" dxfId="8" priority="2">
      <formula>OR($G2="OPEN",$G2="PROPOSED",$G2="DRAFT STRATEGY")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zoomScaleSheetLayoutView="100" workbookViewId="0"/>
  </sheetViews>
  <sheetFormatPr defaultRowHeight="15"/>
  <cols>
    <col min="1" max="1" width="22" customWidth="1"/>
    <col min="2" max="3" width="38" customWidth="1"/>
    <col min="4" max="4" width="26" customWidth="1"/>
    <col min="5" max="5" width="28" customWidth="1"/>
  </cols>
  <sheetData>
    <row r="1" spans="1:5">
      <c r="A1" s="4" t="s">
        <v>232</v>
      </c>
      <c r="B1" s="4" t="s">
        <v>233</v>
      </c>
      <c r="C1" s="4" t="s">
        <v>234</v>
      </c>
      <c r="D1" s="4" t="s">
        <v>235</v>
      </c>
      <c r="E1" s="4" t="s">
        <v>236</v>
      </c>
    </row>
    <row r="2" spans="1:5">
      <c r="A2" s="1" t="s">
        <v>237</v>
      </c>
      <c r="B2" s="1" t="s">
        <v>238</v>
      </c>
      <c r="C2" s="1" t="s">
        <v>239</v>
      </c>
      <c r="D2" s="1" t="s">
        <v>41</v>
      </c>
      <c r="E2" s="1" t="s">
        <v>240</v>
      </c>
    </row>
    <row r="3" spans="1:5">
      <c r="A3" s="1" t="s">
        <v>241</v>
      </c>
      <c r="B3" s="1" t="s">
        <v>242</v>
      </c>
      <c r="C3" s="1" t="s">
        <v>243</v>
      </c>
      <c r="D3" s="1" t="s">
        <v>41</v>
      </c>
      <c r="E3" s="1" t="s">
        <v>244</v>
      </c>
    </row>
    <row r="4" spans="1:5">
      <c r="A4" s="1" t="s">
        <v>245</v>
      </c>
      <c r="B4" s="1" t="s">
        <v>246</v>
      </c>
      <c r="C4" s="1" t="s">
        <v>247</v>
      </c>
      <c r="D4" s="1" t="s">
        <v>41</v>
      </c>
      <c r="E4" s="1" t="s">
        <v>248</v>
      </c>
    </row>
    <row r="5" spans="1:5">
      <c r="A5" s="1" t="s">
        <v>249</v>
      </c>
      <c r="B5" s="1" t="s">
        <v>250</v>
      </c>
      <c r="C5" s="1" t="s">
        <v>251</v>
      </c>
      <c r="D5" s="1" t="s">
        <v>41</v>
      </c>
      <c r="E5" s="1" t="s">
        <v>252</v>
      </c>
    </row>
    <row r="6" spans="1:5">
      <c r="A6" s="1" t="s">
        <v>253</v>
      </c>
      <c r="B6" s="1" t="s">
        <v>254</v>
      </c>
      <c r="C6" s="1" t="s">
        <v>255</v>
      </c>
      <c r="D6" s="1" t="s">
        <v>41</v>
      </c>
      <c r="E6" s="1" t="s">
        <v>256</v>
      </c>
    </row>
    <row r="7" spans="1:5">
      <c r="A7" s="1" t="s">
        <v>257</v>
      </c>
      <c r="B7" s="1" t="s">
        <v>258</v>
      </c>
      <c r="C7" s="1" t="s">
        <v>259</v>
      </c>
      <c r="D7" s="1" t="s">
        <v>41</v>
      </c>
      <c r="E7" s="1" t="s">
        <v>260</v>
      </c>
    </row>
    <row r="8" spans="1:5">
      <c r="A8" s="1" t="s">
        <v>261</v>
      </c>
      <c r="B8" s="1" t="s">
        <v>262</v>
      </c>
      <c r="C8" s="1" t="s">
        <v>263</v>
      </c>
      <c r="D8" s="1" t="s">
        <v>41</v>
      </c>
      <c r="E8" s="1" t="s">
        <v>264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zoomScaleSheetLayoutView="100" workbookViewId="0"/>
  </sheetViews>
  <sheetFormatPr defaultRowHeight="15"/>
  <cols>
    <col min="1" max="1" width="40" customWidth="1"/>
    <col min="2" max="3" width="16" customWidth="1"/>
    <col min="4" max="4" width="18" customWidth="1"/>
    <col min="5" max="5" width="48" customWidth="1"/>
  </cols>
  <sheetData>
    <row r="1" spans="1:5">
      <c r="A1" s="4" t="s">
        <v>265</v>
      </c>
      <c r="B1" s="4" t="s">
        <v>266</v>
      </c>
      <c r="C1" s="4" t="s">
        <v>40</v>
      </c>
      <c r="D1" s="4" t="s">
        <v>267</v>
      </c>
      <c r="E1" s="4" t="s">
        <v>268</v>
      </c>
    </row>
    <row r="2" spans="1:5">
      <c r="A2" s="1" t="s">
        <v>269</v>
      </c>
      <c r="B2" s="2">
        <v>145000</v>
      </c>
      <c r="C2" s="2">
        <v>250000</v>
      </c>
      <c r="D2" s="2">
        <v>200000</v>
      </c>
      <c r="E2" s="1" t="s">
        <v>270</v>
      </c>
    </row>
    <row r="3" spans="1:5">
      <c r="A3" s="1" t="s">
        <v>271</v>
      </c>
      <c r="B3" s="2">
        <v>90000</v>
      </c>
      <c r="C3" s="2">
        <v>200000</v>
      </c>
      <c r="D3" s="2">
        <v>145000</v>
      </c>
      <c r="E3" s="1" t="s">
        <v>272</v>
      </c>
    </row>
    <row r="4" spans="1:5">
      <c r="A4" s="1" t="s">
        <v>273</v>
      </c>
      <c r="B4" s="2">
        <v>55000</v>
      </c>
      <c r="C4" s="2">
        <v>140000</v>
      </c>
      <c r="D4" s="2">
        <v>90000</v>
      </c>
      <c r="E4" s="1" t="s">
        <v>274</v>
      </c>
    </row>
    <row r="5" spans="1:5">
      <c r="A5" s="1" t="s">
        <v>275</v>
      </c>
      <c r="B5" s="2">
        <v>45000</v>
      </c>
      <c r="C5" s="2">
        <v>110000</v>
      </c>
      <c r="D5" s="2">
        <v>85000</v>
      </c>
      <c r="E5" s="1" t="s">
        <v>276</v>
      </c>
    </row>
    <row r="6" spans="1:5">
      <c r="A6" s="1" t="s">
        <v>277</v>
      </c>
      <c r="B6" s="2">
        <v>335000</v>
      </c>
      <c r="C6" s="2">
        <v>700000</v>
      </c>
      <c r="D6" s="2">
        <v>520000</v>
      </c>
      <c r="E6" s="1" t="s">
        <v>278</v>
      </c>
    </row>
    <row r="7" spans="1:5">
      <c r="A7" s="1" t="s">
        <v>279</v>
      </c>
      <c r="B7" s="2">
        <v>250000</v>
      </c>
      <c r="C7" s="2">
        <v>950000</v>
      </c>
      <c r="D7" s="2">
        <v>520000</v>
      </c>
      <c r="E7" s="1" t="s">
        <v>280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zoomScaleNormal="100" zoomScaleSheetLayoutView="100" workbookViewId="0"/>
  </sheetViews>
  <sheetFormatPr defaultRowHeight="15"/>
  <cols>
    <col min="1" max="1" width="10" customWidth="1"/>
    <col min="2" max="2" width="43" customWidth="1"/>
    <col min="3" max="3" width="38" customWidth="1"/>
    <col min="4" max="4" width="48" customWidth="1"/>
  </cols>
  <sheetData>
    <row r="1" spans="1:4">
      <c r="A1" s="4" t="s">
        <v>76</v>
      </c>
      <c r="B1" s="4" t="s">
        <v>281</v>
      </c>
      <c r="C1" s="4" t="s">
        <v>282</v>
      </c>
      <c r="D1" s="4" t="s">
        <v>283</v>
      </c>
    </row>
    <row r="2" spans="1:4">
      <c r="A2" s="1" t="s">
        <v>284</v>
      </c>
      <c r="B2" s="1" t="s">
        <v>285</v>
      </c>
      <c r="C2" s="1" t="s">
        <v>286</v>
      </c>
      <c r="D2" s="1" t="s">
        <v>287</v>
      </c>
    </row>
    <row r="3" spans="1:4">
      <c r="A3" s="1" t="s">
        <v>288</v>
      </c>
      <c r="B3" s="1" t="s">
        <v>289</v>
      </c>
      <c r="C3" s="1" t="s">
        <v>290</v>
      </c>
      <c r="D3" s="1" t="s">
        <v>291</v>
      </c>
    </row>
    <row r="4" spans="1:4">
      <c r="A4" s="1" t="s">
        <v>292</v>
      </c>
      <c r="B4" s="1" t="s">
        <v>293</v>
      </c>
      <c r="C4" s="1" t="s">
        <v>294</v>
      </c>
      <c r="D4" s="1" t="s">
        <v>295</v>
      </c>
    </row>
    <row r="5" spans="1:4">
      <c r="A5" s="1" t="s">
        <v>296</v>
      </c>
      <c r="B5" s="1" t="s">
        <v>297</v>
      </c>
      <c r="C5" s="1" t="s">
        <v>298</v>
      </c>
      <c r="D5" s="1" t="s">
        <v>299</v>
      </c>
    </row>
    <row r="6" spans="1:4">
      <c r="A6" s="1" t="s">
        <v>300</v>
      </c>
      <c r="B6" s="1" t="s">
        <v>301</v>
      </c>
      <c r="C6" s="1" t="s">
        <v>302</v>
      </c>
      <c r="D6" s="1" t="s">
        <v>303</v>
      </c>
    </row>
    <row r="7" spans="1:4">
      <c r="A7" s="1" t="s">
        <v>304</v>
      </c>
      <c r="B7" s="1" t="s">
        <v>305</v>
      </c>
      <c r="C7" s="1" t="s">
        <v>306</v>
      </c>
      <c r="D7" s="1" t="s">
        <v>307</v>
      </c>
    </row>
    <row r="8" spans="1:4">
      <c r="A8" s="1" t="s">
        <v>308</v>
      </c>
      <c r="B8" s="1" t="s">
        <v>166</v>
      </c>
      <c r="C8" s="1" t="s">
        <v>309</v>
      </c>
      <c r="D8" s="1" t="s">
        <v>310</v>
      </c>
    </row>
    <row r="9" spans="1:4">
      <c r="A9" s="1" t="s">
        <v>311</v>
      </c>
      <c r="B9" s="1" t="s">
        <v>312</v>
      </c>
      <c r="C9" s="1" t="s">
        <v>313</v>
      </c>
      <c r="D9" s="1" t="s">
        <v>314</v>
      </c>
    </row>
    <row r="11" spans="1:4">
      <c r="A11" s="3" t="s">
        <v>315</v>
      </c>
      <c r="B11" s="3"/>
      <c r="C11" s="3"/>
      <c r="D11" s="3"/>
    </row>
    <row r="12" spans="1:4">
      <c r="A12" s="1" t="s">
        <v>316</v>
      </c>
      <c r="B12" s="1" t="s">
        <v>317</v>
      </c>
      <c r="C12" s="1" t="s">
        <v>318</v>
      </c>
      <c r="D12" s="1" t="s">
        <v>319</v>
      </c>
    </row>
    <row r="13" spans="1:4">
      <c r="A13" s="1" t="s">
        <v>320</v>
      </c>
      <c r="B13" s="1" t="s">
        <v>321</v>
      </c>
      <c r="C13" s="1" t="s">
        <v>322</v>
      </c>
      <c r="D13" s="1" t="s">
        <v>323</v>
      </c>
    </row>
    <row r="14" spans="1:4">
      <c r="A14" s="1" t="s">
        <v>324</v>
      </c>
      <c r="B14" s="1" t="s">
        <v>325</v>
      </c>
      <c r="C14" s="1" t="s">
        <v>326</v>
      </c>
      <c r="D14" s="1" t="s">
        <v>327</v>
      </c>
    </row>
    <row r="15" spans="1:4">
      <c r="A15" s="1" t="s">
        <v>328</v>
      </c>
      <c r="B15" s="1" t="s">
        <v>329</v>
      </c>
      <c r="C15" s="1" t="s">
        <v>330</v>
      </c>
      <c r="D15" s="1" t="s">
        <v>331</v>
      </c>
    </row>
    <row r="16" spans="1:4">
      <c r="A16" s="1" t="s">
        <v>332</v>
      </c>
      <c r="B16" s="1" t="s">
        <v>333</v>
      </c>
      <c r="C16" s="1" t="s">
        <v>334</v>
      </c>
      <c r="D16" s="1" t="s">
        <v>335</v>
      </c>
    </row>
    <row r="17" spans="1:4">
      <c r="A17" s="1" t="s">
        <v>336</v>
      </c>
      <c r="B17" s="1" t="s">
        <v>337</v>
      </c>
      <c r="C17" s="1" t="s">
        <v>338</v>
      </c>
      <c r="D17" s="1" t="s">
        <v>339</v>
      </c>
    </row>
    <row r="18" spans="1:4">
      <c r="A18" s="1" t="s">
        <v>340</v>
      </c>
      <c r="B18" s="1" t="s">
        <v>341</v>
      </c>
      <c r="C18" s="1" t="s">
        <v>342</v>
      </c>
      <c r="D18" s="1" t="s">
        <v>343</v>
      </c>
    </row>
    <row r="19" spans="1:4">
      <c r="A19" s="1" t="s">
        <v>344</v>
      </c>
      <c r="B19" s="1" t="s">
        <v>345</v>
      </c>
      <c r="C19" s="1" t="s">
        <v>346</v>
      </c>
      <c r="D19" s="1" t="s">
        <v>347</v>
      </c>
    </row>
    <row r="20" spans="1:4">
      <c r="A20" s="1" t="s">
        <v>348</v>
      </c>
      <c r="B20" s="1" t="s">
        <v>349</v>
      </c>
      <c r="C20" s="1" t="s">
        <v>350</v>
      </c>
      <c r="D20" s="1" t="s">
        <v>351</v>
      </c>
    </row>
    <row r="21" spans="1:4">
      <c r="A21" s="1" t="s">
        <v>352</v>
      </c>
      <c r="B21" s="1" t="s">
        <v>353</v>
      </c>
      <c r="C21" s="1" t="s">
        <v>354</v>
      </c>
      <c r="D21" s="1" t="s">
        <v>355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Normal="100" zoomScaleSheetLayoutView="100" workbookViewId="0"/>
  </sheetViews>
  <sheetFormatPr defaultRowHeight="15"/>
  <cols>
    <col min="1" max="1" width="10" customWidth="1"/>
    <col min="2" max="2" width="29" customWidth="1"/>
    <col min="3" max="3" width="20" customWidth="1"/>
    <col min="4" max="4" width="37" customWidth="1"/>
    <col min="5" max="5" width="38" customWidth="1"/>
    <col min="6" max="6" width="25" customWidth="1"/>
    <col min="7" max="7" width="38" customWidth="1"/>
    <col min="8" max="8" width="18" customWidth="1"/>
    <col min="9" max="9" width="40" customWidth="1"/>
    <col min="10" max="10" width="30" customWidth="1"/>
  </cols>
  <sheetData>
    <row r="1" spans="1:10">
      <c r="A1" s="6" t="s">
        <v>356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>
      <c r="A3" s="7" t="s">
        <v>357</v>
      </c>
      <c r="B3" s="7"/>
      <c r="C3" s="7"/>
      <c r="D3" s="7"/>
      <c r="E3" s="7"/>
      <c r="F3" s="7"/>
      <c r="G3" s="7"/>
      <c r="H3" s="7"/>
      <c r="I3" s="7"/>
      <c r="J3" s="7"/>
    </row>
    <row r="5" spans="1:10">
      <c r="A5" s="4" t="s">
        <v>76</v>
      </c>
      <c r="B5" s="4" t="s">
        <v>358</v>
      </c>
      <c r="C5" s="4" t="s">
        <v>359</v>
      </c>
      <c r="D5" s="4" t="s">
        <v>360</v>
      </c>
      <c r="E5" s="4" t="s">
        <v>361</v>
      </c>
      <c r="F5" s="4" t="s">
        <v>80</v>
      </c>
      <c r="G5" s="4" t="s">
        <v>362</v>
      </c>
      <c r="H5" s="4" t="s">
        <v>82</v>
      </c>
      <c r="I5" s="4" t="s">
        <v>83</v>
      </c>
      <c r="J5" s="4" t="s">
        <v>363</v>
      </c>
    </row>
    <row r="6" spans="1:10">
      <c r="A6" s="1" t="s">
        <v>364</v>
      </c>
      <c r="B6" s="1" t="s">
        <v>365</v>
      </c>
      <c r="C6" s="1" t="s">
        <v>366</v>
      </c>
      <c r="D6" s="1" t="s">
        <v>367</v>
      </c>
      <c r="E6" s="1" t="s">
        <v>368</v>
      </c>
      <c r="F6" s="1" t="s">
        <v>369</v>
      </c>
      <c r="G6" s="1" t="s">
        <v>370</v>
      </c>
      <c r="H6" s="1" t="s">
        <v>371</v>
      </c>
      <c r="I6" s="1" t="s">
        <v>372</v>
      </c>
      <c r="J6" s="1" t="s">
        <v>373</v>
      </c>
    </row>
    <row r="7" spans="1:10">
      <c r="A7" s="1" t="s">
        <v>374</v>
      </c>
      <c r="B7" s="1" t="s">
        <v>375</v>
      </c>
      <c r="C7" s="1" t="s">
        <v>376</v>
      </c>
      <c r="D7" s="1" t="s">
        <v>377</v>
      </c>
      <c r="E7" s="1" t="s">
        <v>378</v>
      </c>
      <c r="F7" s="1" t="s">
        <v>379</v>
      </c>
      <c r="G7" s="1" t="s">
        <v>380</v>
      </c>
      <c r="H7" s="1" t="s">
        <v>116</v>
      </c>
      <c r="I7" s="1" t="s">
        <v>381</v>
      </c>
      <c r="J7" s="1" t="s">
        <v>382</v>
      </c>
    </row>
    <row r="8" spans="1:10">
      <c r="A8" s="1" t="s">
        <v>383</v>
      </c>
      <c r="B8" s="1" t="s">
        <v>384</v>
      </c>
      <c r="C8" s="1" t="s">
        <v>385</v>
      </c>
      <c r="D8" s="1" t="s">
        <v>386</v>
      </c>
      <c r="E8" s="1" t="s">
        <v>387</v>
      </c>
      <c r="F8" s="1" t="s">
        <v>10</v>
      </c>
      <c r="G8" s="1" t="s">
        <v>388</v>
      </c>
      <c r="H8" s="1" t="s">
        <v>125</v>
      </c>
      <c r="I8" s="1" t="s">
        <v>389</v>
      </c>
      <c r="J8" s="1" t="s">
        <v>390</v>
      </c>
    </row>
    <row r="9" spans="1:10">
      <c r="A9" s="1" t="s">
        <v>391</v>
      </c>
      <c r="B9" s="1" t="s">
        <v>392</v>
      </c>
      <c r="C9" s="1" t="s">
        <v>393</v>
      </c>
      <c r="D9" s="1" t="s">
        <v>394</v>
      </c>
      <c r="E9" s="1" t="s">
        <v>395</v>
      </c>
      <c r="F9" s="1" t="s">
        <v>10</v>
      </c>
      <c r="G9" s="1" t="s">
        <v>396</v>
      </c>
      <c r="H9" s="1" t="s">
        <v>156</v>
      </c>
      <c r="I9" s="1" t="s">
        <v>397</v>
      </c>
      <c r="J9" s="1" t="s">
        <v>398</v>
      </c>
    </row>
    <row r="10" spans="1:10">
      <c r="A10" s="1" t="s">
        <v>399</v>
      </c>
      <c r="B10" s="1" t="s">
        <v>400</v>
      </c>
      <c r="C10" s="1" t="s">
        <v>401</v>
      </c>
      <c r="D10" s="1" t="s">
        <v>402</v>
      </c>
      <c r="E10" s="1" t="s">
        <v>403</v>
      </c>
      <c r="F10" s="1" t="s">
        <v>404</v>
      </c>
      <c r="G10" s="1" t="s">
        <v>405</v>
      </c>
      <c r="H10" s="1" t="s">
        <v>156</v>
      </c>
      <c r="I10" s="1" t="s">
        <v>406</v>
      </c>
      <c r="J10" s="1" t="s">
        <v>407</v>
      </c>
    </row>
    <row r="11" spans="1:10">
      <c r="A11" s="1" t="s">
        <v>408</v>
      </c>
      <c r="B11" s="1" t="s">
        <v>409</v>
      </c>
      <c r="C11" s="1" t="s">
        <v>410</v>
      </c>
      <c r="D11" s="1" t="s">
        <v>411</v>
      </c>
      <c r="E11" s="1" t="s">
        <v>412</v>
      </c>
      <c r="F11" s="1" t="s">
        <v>10</v>
      </c>
      <c r="G11" s="1" t="s">
        <v>413</v>
      </c>
      <c r="H11" s="1" t="s">
        <v>125</v>
      </c>
      <c r="I11" s="1" t="s">
        <v>414</v>
      </c>
      <c r="J11" s="1" t="s">
        <v>415</v>
      </c>
    </row>
    <row r="12" spans="1:10">
      <c r="A12" s="1" t="s">
        <v>416</v>
      </c>
      <c r="B12" s="1" t="s">
        <v>417</v>
      </c>
      <c r="C12" s="1" t="s">
        <v>418</v>
      </c>
      <c r="D12" s="1" t="s">
        <v>419</v>
      </c>
      <c r="E12" s="1" t="s">
        <v>420</v>
      </c>
      <c r="F12" s="1" t="s">
        <v>10</v>
      </c>
      <c r="G12" s="1" t="s">
        <v>421</v>
      </c>
      <c r="H12" s="1" t="s">
        <v>125</v>
      </c>
      <c r="I12" s="1" t="s">
        <v>422</v>
      </c>
      <c r="J12" s="1" t="s">
        <v>131</v>
      </c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mergeCells count="2">
    <mergeCell ref="A1:J2"/>
    <mergeCell ref="A3:J3"/>
  </mergeCells>
  <conditionalFormatting sqref="H6:H13">
    <cfRule type="expression" dxfId="7" priority="1">
      <formula>OR($H6="PASS",$H6="PASS AFTER FIX")</formula>
    </cfRule>
    <cfRule type="expression" dxfId="6" priority="2">
      <formula>OR($H6="OPEN",$H6="MVP ARTIFACT EVIDENCE")</formula>
    </cfRule>
  </conditionalFormatting>
  <conditionalFormatting sqref="H6:H12">
    <cfRule type="expression" dxfId="5" priority="3">
      <formula>OR($H6="PASS",$H6="PASS AFTER FIX")</formula>
    </cfRule>
    <cfRule type="expression" dxfId="4" priority="4">
      <formula>OR($H6="PASS / REPORTED",$H6="MVP ARTIFACT EVIDENCE")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zoomScaleNormal="100" zoomScaleSheetLayoutView="100" workbookViewId="0"/>
  </sheetViews>
  <sheetFormatPr defaultRowHeight="15"/>
  <cols>
    <col min="1" max="1" width="10" customWidth="1"/>
    <col min="2" max="2" width="29" customWidth="1"/>
    <col min="3" max="3" width="20" customWidth="1"/>
    <col min="4" max="4" width="37" customWidth="1"/>
    <col min="5" max="5" width="38" customWidth="1"/>
    <col min="6" max="6" width="25" customWidth="1"/>
    <col min="7" max="7" width="38" customWidth="1"/>
    <col min="8" max="8" width="18" customWidth="1"/>
    <col min="9" max="9" width="40" customWidth="1"/>
    <col min="10" max="10" width="30" customWidth="1"/>
  </cols>
  <sheetData>
    <row r="1" spans="1:10">
      <c r="A1" s="6" t="s">
        <v>423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</row>
    <row r="5" spans="1:10">
      <c r="A5" s="4" t="s">
        <v>76</v>
      </c>
      <c r="B5" s="4" t="s">
        <v>358</v>
      </c>
      <c r="C5" s="4" t="s">
        <v>359</v>
      </c>
      <c r="D5" s="4" t="s">
        <v>360</v>
      </c>
      <c r="E5" s="4" t="s">
        <v>361</v>
      </c>
      <c r="F5" s="4" t="s">
        <v>80</v>
      </c>
      <c r="G5" s="4" t="s">
        <v>362</v>
      </c>
      <c r="H5" s="4" t="s">
        <v>82</v>
      </c>
      <c r="I5" s="4" t="s">
        <v>83</v>
      </c>
      <c r="J5" s="4" t="s">
        <v>363</v>
      </c>
    </row>
    <row r="6" spans="1:10">
      <c r="A6" s="1" t="s">
        <v>425</v>
      </c>
      <c r="B6" s="1" t="s">
        <v>426</v>
      </c>
      <c r="C6" s="1" t="s">
        <v>427</v>
      </c>
      <c r="D6" s="1" t="s">
        <v>428</v>
      </c>
      <c r="E6" s="1" t="s">
        <v>429</v>
      </c>
      <c r="F6" s="1" t="s">
        <v>10</v>
      </c>
      <c r="G6" s="1" t="s">
        <v>430</v>
      </c>
      <c r="H6" s="1" t="s">
        <v>156</v>
      </c>
      <c r="I6" s="1" t="s">
        <v>431</v>
      </c>
      <c r="J6" s="1" t="s">
        <v>432</v>
      </c>
    </row>
    <row r="7" spans="1:10">
      <c r="A7" s="1" t="s">
        <v>433</v>
      </c>
      <c r="B7" s="1" t="s">
        <v>434</v>
      </c>
      <c r="C7" s="1" t="s">
        <v>435</v>
      </c>
      <c r="D7" s="1" t="s">
        <v>436</v>
      </c>
      <c r="E7" s="1" t="s">
        <v>437</v>
      </c>
      <c r="F7" s="1" t="s">
        <v>438</v>
      </c>
      <c r="G7" s="1" t="s">
        <v>439</v>
      </c>
      <c r="H7" s="1" t="s">
        <v>371</v>
      </c>
      <c r="I7" s="1" t="s">
        <v>440</v>
      </c>
      <c r="J7" s="1" t="s">
        <v>441</v>
      </c>
    </row>
    <row r="8" spans="1:10">
      <c r="A8" s="1" t="s">
        <v>442</v>
      </c>
      <c r="B8" s="1" t="s">
        <v>443</v>
      </c>
      <c r="C8" s="1" t="s">
        <v>427</v>
      </c>
      <c r="D8" s="1" t="s">
        <v>444</v>
      </c>
      <c r="E8" s="1" t="s">
        <v>445</v>
      </c>
      <c r="F8" s="1" t="s">
        <v>10</v>
      </c>
      <c r="G8" s="1" t="s">
        <v>446</v>
      </c>
      <c r="H8" s="1" t="s">
        <v>125</v>
      </c>
      <c r="I8" s="1" t="s">
        <v>447</v>
      </c>
      <c r="J8" s="1" t="s">
        <v>448</v>
      </c>
    </row>
    <row r="9" spans="1:10">
      <c r="A9" s="1" t="s">
        <v>449</v>
      </c>
      <c r="B9" s="1" t="s">
        <v>450</v>
      </c>
      <c r="C9" s="1" t="s">
        <v>427</v>
      </c>
      <c r="D9" s="1" t="s">
        <v>451</v>
      </c>
      <c r="E9" s="1" t="s">
        <v>452</v>
      </c>
      <c r="F9" s="1" t="s">
        <v>10</v>
      </c>
      <c r="G9" s="1" t="s">
        <v>453</v>
      </c>
      <c r="H9" s="1" t="s">
        <v>156</v>
      </c>
      <c r="I9" s="1" t="s">
        <v>454</v>
      </c>
      <c r="J9" s="1" t="s">
        <v>455</v>
      </c>
    </row>
    <row r="10" spans="1:10">
      <c r="A10" s="1" t="s">
        <v>456</v>
      </c>
      <c r="B10" s="1" t="s">
        <v>457</v>
      </c>
      <c r="C10" s="1" t="s">
        <v>427</v>
      </c>
      <c r="D10" s="1" t="s">
        <v>458</v>
      </c>
      <c r="E10" s="1" t="s">
        <v>459</v>
      </c>
      <c r="F10" s="1" t="s">
        <v>10</v>
      </c>
      <c r="G10" s="1" t="s">
        <v>460</v>
      </c>
      <c r="H10" s="1" t="s">
        <v>125</v>
      </c>
      <c r="I10" s="1" t="s">
        <v>461</v>
      </c>
      <c r="J10" s="1" t="s">
        <v>462</v>
      </c>
    </row>
    <row r="11" spans="1:10">
      <c r="A11" s="1" t="s">
        <v>463</v>
      </c>
      <c r="B11" s="1" t="s">
        <v>464</v>
      </c>
      <c r="C11" s="1" t="s">
        <v>465</v>
      </c>
      <c r="D11" s="1" t="s">
        <v>466</v>
      </c>
      <c r="E11" s="1" t="s">
        <v>467</v>
      </c>
      <c r="F11" s="1" t="s">
        <v>379</v>
      </c>
      <c r="G11" s="1" t="s">
        <v>468</v>
      </c>
      <c r="H11" s="1" t="s">
        <v>125</v>
      </c>
      <c r="I11" s="1" t="s">
        <v>469</v>
      </c>
      <c r="J11" s="1" t="s">
        <v>470</v>
      </c>
    </row>
    <row r="12" spans="1:10">
      <c r="A12" s="1" t="s">
        <v>471</v>
      </c>
      <c r="B12" s="1" t="s">
        <v>472</v>
      </c>
      <c r="C12" s="1" t="s">
        <v>473</v>
      </c>
      <c r="D12" s="1" t="s">
        <v>474</v>
      </c>
      <c r="E12" s="1" t="s">
        <v>475</v>
      </c>
      <c r="F12" s="1" t="s">
        <v>438</v>
      </c>
      <c r="G12" s="1" t="s">
        <v>476</v>
      </c>
      <c r="H12" s="1" t="s">
        <v>371</v>
      </c>
      <c r="I12" s="1" t="s">
        <v>477</v>
      </c>
      <c r="J12" s="1" t="s">
        <v>478</v>
      </c>
    </row>
    <row r="13" spans="1:10">
      <c r="A13" s="1" t="s">
        <v>479</v>
      </c>
      <c r="B13" s="1" t="s">
        <v>480</v>
      </c>
      <c r="C13" s="1" t="s">
        <v>481</v>
      </c>
      <c r="D13" s="1" t="s">
        <v>482</v>
      </c>
      <c r="E13" s="1" t="s">
        <v>483</v>
      </c>
      <c r="F13" s="1" t="s">
        <v>484</v>
      </c>
      <c r="G13" s="1" t="s">
        <v>485</v>
      </c>
      <c r="H13" s="1" t="s">
        <v>486</v>
      </c>
      <c r="I13" s="1" t="s">
        <v>487</v>
      </c>
      <c r="J13" s="1" t="s">
        <v>441</v>
      </c>
    </row>
    <row r="14" spans="1:10">
      <c r="A14" s="1" t="s">
        <v>488</v>
      </c>
      <c r="B14" s="1" t="s">
        <v>489</v>
      </c>
      <c r="C14" s="1" t="s">
        <v>490</v>
      </c>
      <c r="D14" s="1" t="s">
        <v>491</v>
      </c>
      <c r="E14" s="1" t="s">
        <v>492</v>
      </c>
      <c r="F14" s="1" t="s">
        <v>10</v>
      </c>
      <c r="G14" s="1" t="s">
        <v>493</v>
      </c>
      <c r="H14" s="1" t="s">
        <v>125</v>
      </c>
      <c r="I14" s="1" t="s">
        <v>494</v>
      </c>
      <c r="J14" s="1" t="s">
        <v>495</v>
      </c>
    </row>
    <row r="15" spans="1:10">
      <c r="A15" s="1" t="s">
        <v>496</v>
      </c>
      <c r="B15" s="1" t="s">
        <v>497</v>
      </c>
      <c r="C15" s="1" t="s">
        <v>418</v>
      </c>
      <c r="D15" s="1" t="s">
        <v>498</v>
      </c>
      <c r="E15" s="1" t="s">
        <v>499</v>
      </c>
      <c r="F15" s="1" t="s">
        <v>10</v>
      </c>
      <c r="G15" s="1" t="s">
        <v>500</v>
      </c>
      <c r="H15" s="1" t="s">
        <v>125</v>
      </c>
      <c r="I15" s="1" t="s">
        <v>501</v>
      </c>
      <c r="J15" s="1" t="s">
        <v>502</v>
      </c>
    </row>
    <row r="16" spans="1:10">
      <c r="A16" s="1" t="s">
        <v>503</v>
      </c>
      <c r="B16" s="1" t="s">
        <v>504</v>
      </c>
      <c r="C16" s="1" t="s">
        <v>505</v>
      </c>
      <c r="D16" s="1" t="s">
        <v>506</v>
      </c>
      <c r="E16" s="1" t="s">
        <v>507</v>
      </c>
      <c r="F16" s="1" t="s">
        <v>438</v>
      </c>
      <c r="G16" s="1" t="s">
        <v>508</v>
      </c>
      <c r="H16" s="1" t="s">
        <v>509</v>
      </c>
      <c r="I16" s="1" t="s">
        <v>510</v>
      </c>
      <c r="J16" s="1" t="s">
        <v>511</v>
      </c>
    </row>
    <row r="17" spans="1:10">
      <c r="A17" s="1" t="s">
        <v>512</v>
      </c>
      <c r="B17" s="1" t="s">
        <v>513</v>
      </c>
      <c r="C17" s="1" t="s">
        <v>514</v>
      </c>
      <c r="D17" s="1" t="s">
        <v>515</v>
      </c>
      <c r="E17" s="1" t="s">
        <v>516</v>
      </c>
      <c r="F17" s="1" t="s">
        <v>22</v>
      </c>
      <c r="G17" s="1" t="s">
        <v>517</v>
      </c>
      <c r="H17" s="1" t="s">
        <v>139</v>
      </c>
      <c r="I17" s="1" t="s">
        <v>518</v>
      </c>
      <c r="J17" s="1" t="s">
        <v>519</v>
      </c>
    </row>
    <row r="18" spans="1:10">
      <c r="A18" s="1" t="s">
        <v>520</v>
      </c>
      <c r="B18" s="1" t="s">
        <v>521</v>
      </c>
      <c r="C18" s="1" t="s">
        <v>522</v>
      </c>
      <c r="D18" s="1" t="s">
        <v>523</v>
      </c>
      <c r="E18" s="1" t="s">
        <v>524</v>
      </c>
      <c r="F18" s="1" t="s">
        <v>379</v>
      </c>
      <c r="G18" s="1" t="s">
        <v>525</v>
      </c>
      <c r="H18" s="1" t="s">
        <v>116</v>
      </c>
      <c r="I18" s="1" t="s">
        <v>526</v>
      </c>
      <c r="J18" s="1" t="s">
        <v>527</v>
      </c>
    </row>
  </sheetData>
  <mergeCells count="2">
    <mergeCell ref="A1:J2"/>
    <mergeCell ref="A3:J3"/>
  </mergeCells>
  <conditionalFormatting sqref="H6:H17">
    <cfRule type="expression" dxfId="3" priority="1">
      <formula>OR($H6="PASS",$H6="PASS AFTER FIX")</formula>
    </cfRule>
    <cfRule type="expression" dxfId="2" priority="2">
      <formula>OR($H6="REPORTED",$H6="PASS / REPORTED",$H6="MVP ARTIFACT EVIDENCE")</formula>
    </cfRule>
  </conditionalFormatting>
  <conditionalFormatting sqref="H6:H18">
    <cfRule type="expression" dxfId="1" priority="3">
      <formula>OR($H6="PASS",$H6="PASS AFTER FIX")</formula>
    </cfRule>
    <cfRule type="expression" dxfId="0" priority="4">
      <formula>OR($H6="REPORTED",$H6="PASS / REPORTED",$H6="MVP ARTIFACT EVIDENCE",$H6="REPORTED / FILE PRESENCE")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Esponilla</dc:creator>
  <cp:keywords/>
  <dc:description/>
  <cp:lastModifiedBy/>
  <cp:revision/>
  <dcterms:created xsi:type="dcterms:W3CDTF">2026-10-26T22:31:58Z</dcterms:created>
  <dcterms:modified xsi:type="dcterms:W3CDTF">2026-10-26T22:33:48Z</dcterms:modified>
  <cp:category/>
  <cp:contentStatus/>
</cp:coreProperties>
</file>